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DT10" sheetId="1" r:id="rId5"/>
    <sheet state="visible" name="รายงาน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7">
      <text>
        <t xml:space="preserve">Valid Through</t>
      </text>
    </comment>
    <comment authorId="0" ref="M59">
      <text>
        <t xml:space="preserve">Payment</t>
      </text>
    </comment>
    <comment authorId="0" ref="C63">
      <text>
        <t xml:space="preserve">Remark</t>
      </text>
    </comment>
    <comment authorId="0" ref="M63">
      <text>
        <t xml:space="preserve">Payment Detail</t>
      </text>
    </comment>
    <comment authorId="0" ref="Q91">
      <text>
        <t xml:space="preserve">Listed Price</t>
      </text>
    </comment>
    <comment authorId="0" ref="S91">
      <text>
        <t xml:space="preserve">Quotation Price</t>
      </text>
    </comment>
    <comment authorId="0" ref="AE112">
      <text>
        <t xml:space="preserve">Listed Price</t>
      </text>
    </comment>
    <comment authorId="0" ref="AG112">
      <text>
        <t xml:space="preserve">Quotation Price</t>
      </text>
    </comment>
    <comment authorId="0" ref="AE125">
      <text>
        <t xml:space="preserve">Listed Price</t>
      </text>
    </comment>
    <comment authorId="0" ref="AG125">
      <text>
        <t xml:space="preserve">Quotation Price</t>
      </text>
    </comment>
  </commentList>
</comments>
</file>

<file path=xl/sharedStrings.xml><?xml version="1.0" encoding="utf-8"?>
<sst xmlns="http://schemas.openxmlformats.org/spreadsheetml/2006/main" count="361" uniqueCount="249">
  <si>
    <t>QODT01</t>
  </si>
  <si>
    <t>บันทึก - ปรับปรุงใบเสนอราคาในประเทศ</t>
  </si>
  <si>
    <t>ตาราง Input</t>
  </si>
  <si>
    <t>qo_main_type, qo_sub_type</t>
  </si>
  <si>
    <t>ตาราง Output</t>
  </si>
  <si>
    <t xml:space="preserve">qo_master, qo_detail_pro, qo_detail, qo_content, qo_detail_desc </t>
  </si>
  <si>
    <t>หน้าสอบถาม</t>
  </si>
  <si>
    <t>ประเภทเอกสารย่อย</t>
  </si>
  <si>
    <t>การชำระเงิน</t>
  </si>
  <si>
    <t>autocompleted</t>
  </si>
  <si>
    <t>ตั้งแต่ลูกค้า</t>
  </si>
  <si>
    <t>ถึงลูกค้า</t>
  </si>
  <si>
    <t>ตั้งแต่พนักงานขาย</t>
  </si>
  <si>
    <t>ถึงพนักงานขาย</t>
  </si>
  <si>
    <t>ตั้งแต่สถานะ</t>
  </si>
  <si>
    <t>ถึงสถานะ</t>
  </si>
  <si>
    <t>เลขที่ใบเสนอราคา</t>
  </si>
  <si>
    <t>Revision</t>
  </si>
  <si>
    <t>ดึงเฉพาะ Revision ล่าสุด</t>
  </si>
  <si>
    <t>ค้นหา</t>
  </si>
  <si>
    <t>ล้างข้อมูล</t>
  </si>
  <si>
    <t>+ เพิ่ม</t>
  </si>
  <si>
    <t>ลูกค้า</t>
  </si>
  <si>
    <t>พนักงานขาย</t>
  </si>
  <si>
    <t>ราคามีผลถึง</t>
  </si>
  <si>
    <t>ผู้อนุมัติ</t>
  </si>
  <si>
    <t>วันที่อนุมัติ</t>
  </si>
  <si>
    <t>สถานะ</t>
  </si>
  <si>
    <t>New Revision</t>
  </si>
  <si>
    <t>Query</t>
  </si>
  <si>
    <t>หน้ารายละเอียด</t>
  </si>
  <si>
    <t>ปุ่มเหมือนเดิม มีพิพม์รายงาน pdf 1 ตัว</t>
  </si>
  <si>
    <t>รายละเอียดใบเสนอราคา</t>
  </si>
  <si>
    <t>qo_master</t>
  </si>
  <si>
    <t>ประเภทเอสการย่อย *</t>
  </si>
  <si>
    <t>วันที่เสนอราคา *</t>
  </si>
  <si>
    <t>qo_sub_type</t>
  </si>
  <si>
    <t>qo_date</t>
  </si>
  <si>
    <t>ปกติ</t>
  </si>
  <si>
    <t>เลขที่ใบเสนอราคา *</t>
  </si>
  <si>
    <t>จำนวนวันนับจากวันที่เสนอราคา</t>
  </si>
  <si>
    <t>qo_no</t>
  </si>
  <si>
    <t>Auto</t>
  </si>
  <si>
    <t>qo_rev</t>
  </si>
  <si>
    <t>end_date</t>
  </si>
  <si>
    <t>หรือ</t>
  </si>
  <si>
    <t>lead_time</t>
  </si>
  <si>
    <t>ลูกค้า *</t>
  </si>
  <si>
    <t>ar_code</t>
  </si>
  <si>
    <t>payment_code</t>
  </si>
  <si>
    <t>แฟ้มราคา *</t>
  </si>
  <si>
    <t>พนักงานขาย *</t>
  </si>
  <si>
    <t>รายละเอียดการส่งมอบ</t>
  </si>
  <si>
    <t>pl_id</t>
  </si>
  <si>
    <t>staff_code</t>
  </si>
  <si>
    <t>delivery_detail</t>
  </si>
  <si>
    <t>textbox</t>
  </si>
  <si>
    <t>หมายเหตุ</t>
  </si>
  <si>
    <t>รายละเอียดการชำระเงิน</t>
  </si>
  <si>
    <t>note</t>
  </si>
  <si>
    <t>payment_detail</t>
  </si>
  <si>
    <t>หมายเหตุการเปลี่ยน Revision *</t>
  </si>
  <si>
    <t>แสดงเฉพาะมีการทำ revision</t>
  </si>
  <si>
    <t>revision_remark</t>
  </si>
  <si>
    <t xml:space="preserve">รายละเอียดอื่น ๆ </t>
  </si>
  <si>
    <t>ผู้ที่ติดต่อด้วย</t>
  </si>
  <si>
    <t>contact_name</t>
  </si>
  <si>
    <t>หัวเรื่อง</t>
  </si>
  <si>
    <t>qo_title</t>
  </si>
  <si>
    <t>คำลงท้าย (หมายเหตุ)</t>
  </si>
  <si>
    <t>qo_remark</t>
  </si>
  <si>
    <t>คำลงท้าย</t>
  </si>
  <si>
    <t xml:space="preserve">letter_closing </t>
  </si>
  <si>
    <t>ข้อมูลโปรโมชั่น</t>
  </si>
  <si>
    <t>qo_detail_pro</t>
  </si>
  <si>
    <t>โปรโมชั่น</t>
  </si>
  <si>
    <t>วันที่มีผลใช้งาน</t>
  </si>
  <si>
    <t>ประเภทโปรโมชั่น</t>
  </si>
  <si>
    <t>ลบ</t>
  </si>
  <si>
    <t>pro_id</t>
  </si>
  <si>
    <t>ข้อมูลสินค้า/ บริการ</t>
  </si>
  <si>
    <t>qo_detail</t>
  </si>
  <si>
    <t>+ เลือก</t>
  </si>
  <si>
    <t>สินค้า / บริการ *</t>
  </si>
  <si>
    <t>คำอธิบายเพิ่มเติม</t>
  </si>
  <si>
    <t>อัตราบรรจุ / หน่วย *</t>
  </si>
  <si>
    <t>ราคาขายต่อหน่วย</t>
  </si>
  <si>
    <t>ราคาเสนอขาย *</t>
  </si>
  <si>
    <t>จำนวน *</t>
  </si>
  <si>
    <t>รวม</t>
  </si>
  <si>
    <t>item_id</t>
  </si>
  <si>
    <t>qo_item_desc_id</t>
  </si>
  <si>
    <t>item_desc เพิ่มฟังก์ชั่น import excel 2 ตัว</t>
  </si>
  <si>
    <t>unit_id</t>
  </si>
  <si>
    <t>u_price_list</t>
  </si>
  <si>
    <t>u_price_ex</t>
  </si>
  <si>
    <t>qty</t>
  </si>
  <si>
    <t>total_amt</t>
  </si>
  <si>
    <t xml:space="preserve">autocompleted </t>
  </si>
  <si>
    <t>x,xxx.xx</t>
  </si>
  <si>
    <t>x,xxx,xxx.xx</t>
  </si>
  <si>
    <t>รวมทั้งสิ้น</t>
  </si>
  <si>
    <t>ส่วนลด %</t>
  </si>
  <si>
    <t>มูลค่าส่วนลด %</t>
  </si>
  <si>
    <t>ส่วนลดจำนวนเงิน</t>
  </si>
  <si>
    <t>รวมจำนวนเงิน</t>
  </si>
  <si>
    <t>gross_amt</t>
  </si>
  <si>
    <t>บาท</t>
  </si>
  <si>
    <t>xxx.xx</t>
  </si>
  <si>
    <t>มูลค่าส่วนลด</t>
  </si>
  <si>
    <t>total_disc</t>
  </si>
  <si>
    <t>disc_rate</t>
  </si>
  <si>
    <t>disc_amt</t>
  </si>
  <si>
    <t>จำนวนเงินทั้งสิ้น</t>
  </si>
  <si>
    <t>แนบเอกสาร</t>
  </si>
  <si>
    <t>Qo_content</t>
  </si>
  <si>
    <t>แสดงรหลังจากที่ได้เลขเอกสารแล้ว</t>
  </si>
  <si>
    <t>ลำดับ</t>
  </si>
  <si>
    <t>แนบเอกสาร *</t>
  </si>
  <si>
    <t>คำอธิบายเอกสารแนบ</t>
  </si>
  <si>
    <t>su_content.name</t>
  </si>
  <si>
    <t>content_desc</t>
  </si>
  <si>
    <t>ดึงประเภทภายในประเทศ เท่านั้น</t>
  </si>
  <si>
    <t>*** เหลือหน้าจอประเภทเอกสารของ SO, และบันทึก SO ที่ต้องลิงค์กับใบเสนอราคา</t>
  </si>
  <si>
    <t>ถ้าเป็นการทำ new revision จะไม่สามารถแก้ไขได้</t>
  </si>
  <si>
    <t>N</t>
  </si>
  <si>
    <t>W</t>
  </si>
  <si>
    <t>รออนุมัติ</t>
  </si>
  <si>
    <t>A</t>
  </si>
  <si>
    <t>อนุมัติ</t>
  </si>
  <si>
    <t>R</t>
  </si>
  <si>
    <t>ส่งกลับ</t>
  </si>
  <si>
    <t>O</t>
  </si>
  <si>
    <t>อ้างอิงใบสั่งขาย</t>
  </si>
  <si>
    <t>C</t>
  </si>
  <si>
    <t>ยกเลิก</t>
  </si>
  <si>
    <t>เซิร์ฟเวอร์</t>
  </si>
  <si>
    <t>บริการติดตั้งซอฟต์แวร์ฟรี</t>
  </si>
  <si>
    <t>เครื่อง</t>
  </si>
  <si>
    <t xml:space="preserve">ราคามีผลถึง และจำนวนวันนับจากวันที่เสนอราคา </t>
  </si>
  <si>
    <t xml:space="preserve">ต้องกรอกอย่างใดอย่างหนึ่ง </t>
  </si>
  <si>
    <t>ถ้าระบุเป็นวันที่ รายงานจะแสดง "วันที่"</t>
  </si>
  <si>
    <t>ถ้าระบุจำนวนวัน รายงานจะแสดงเป็น "XX วันนับจากวันที่เสนอราคา"</t>
  </si>
  <si>
    <t>qo_detail_desc</t>
  </si>
  <si>
    <t>db_credit_term</t>
  </si>
  <si>
    <t>id = 1</t>
  </si>
  <si>
    <t>ดูจอบันทึก Order / Invocie ได้เลย</t>
  </si>
  <si>
    <t>item_desc = บริการติดตั้งซอฟต์แวร์ฟรี</t>
  </si>
  <si>
    <t>แฟ้มราคา</t>
  </si>
  <si>
    <t>ระบุลูกค้า แล้ว default price list (ใช้ logic เดียวกับ Salse Order)</t>
  </si>
  <si>
    <t>last_ref_date = current_timestamptz</t>
  </si>
  <si>
    <t>หมายเหตุ (note)</t>
  </si>
  <si>
    <t>default ข้อความจาก db_parameter (QO, REMARK_TH) /(QO, REMARK_EN) และสามารถแก้ไขเพิ่มเิตมได้</t>
  </si>
  <si>
    <t>หมายเหตุการเปลี่ยน Revision</t>
  </si>
  <si>
    <t>แสดงเฉพาะเอกสารที่มีการทำ revision เท่านั้น</t>
  </si>
  <si>
    <r>
      <rPr>
        <rFont val="Prompt"/>
        <color theme="1"/>
        <sz val="9.0"/>
      </rPr>
      <t xml:space="preserve">ให้ดึงเฉพาะที่เข้าเงื่อนไข เช่น </t>
    </r>
    <r>
      <rPr>
        <rFont val="Prompt"/>
        <color rgb="FFA64D79"/>
        <sz val="9.0"/>
      </rPr>
      <t>ลูกค้า, วันที่มีผลตามราคามีผลถึง หรือจำนวนวัน, และสกุลเงิน THB (DB, TH_CURR_CODE)</t>
    </r>
  </si>
  <si>
    <t>บริการติดตั้งซอฟต์แวร์ฟรี และให้คำปรึกษาฟรี 3 เดือน</t>
  </si>
  <si>
    <t>แสดง description เป็นประเภทโปรโมชั่น</t>
  </si>
  <si>
    <t>เก็บ revision_flag</t>
  </si>
  <si>
    <t>รายการสินค้า</t>
  </si>
  <si>
    <t>ให้ดึงจากแฟ้มราคาที่เลือก</t>
  </si>
  <si>
    <t>ราคาขาย</t>
  </si>
  <si>
    <t>ตามแฟ้มราคา</t>
  </si>
  <si>
    <t>ราคาเสนอขาย</t>
  </si>
  <si>
    <t>ให้ user ระบุเอง</t>
  </si>
  <si>
    <t>เก็บประวัติไว้ที่ qo_detail_desc ตาม ou_Code, div_code เลือกและ default ที่ textbox เพื่อแก้ไขเพิ่มเติมได้</t>
  </si>
  <si>
    <t xml:space="preserve">การเก็บประวัติ เฉพาะคำอธิบายเพิ่มเติมใหม่ (เขียน job ถ้ารายการไหนไม่ถูกอ้างอิงเป็นเวลา 1 ปี จะให้ลบรายการทิ้ง เช็คจาก last_ref_date) </t>
  </si>
  <si>
    <t>การทำงาน</t>
  </si>
  <si>
    <r>
      <rPr>
        <rFont val="Prompt"/>
        <sz val="9.0"/>
      </rPr>
      <t xml:space="preserve">เพิ่ม su_content_reference เพื่อบอกว่าตารางอะไร และคอลัมน์ไหนที่อ้างอิง </t>
    </r>
    <r>
      <rPr>
        <rFont val="Prompt"/>
        <color rgb="FF1155CC"/>
        <sz val="9.0"/>
        <u/>
      </rPr>
      <t>su_content.id</t>
    </r>
    <r>
      <rPr>
        <rFont val="Prompt"/>
        <sz val="9.0"/>
      </rPr>
      <t xml:space="preserve"> ไว้</t>
    </r>
  </si>
  <si>
    <t>INSERT INTO su_content_reference (table_name, column_name) VALUES('QO_CONTENT', 'CONTENT_ID');</t>
  </si>
  <si>
    <r>
      <rPr>
        <rFont val="Prompt"/>
        <sz val="9.0"/>
      </rPr>
      <t xml:space="preserve">กดอัพโหลดไฟล์ ไฟล์จะถูกอัพโหลดขึ้น server content ทันที จะได้ </t>
    </r>
    <r>
      <rPr>
        <rFont val="Prompt"/>
        <color rgb="FF1155CC"/>
        <sz val="9.0"/>
        <u/>
      </rPr>
      <t>su_content.id</t>
    </r>
    <r>
      <rPr>
        <rFont val="Prompt"/>
        <sz val="9.0"/>
      </rPr>
      <t xml:space="preserve"> กลับมา</t>
    </r>
  </si>
  <si>
    <t>เก็บ qo_content.content_id = su_content.id</t>
  </si>
  <si>
    <t xml:space="preserve">จะมี job สำหรับลบไฟล์แนบที่ไม่ได้ถูกอ้างอิงแล้วทุกคืน โดยเช็คจากการ setup ไว้ที่ su_content_reference </t>
  </si>
  <si>
    <t>ปุ่มพิมพ์รายงาน</t>
  </si>
  <si>
    <t>กดปุ่มมี popup ให้เลือก "กรุณาเลือกรูปแบบการพิมพ์รายงาน" และแสดง radio (/) ไม่แสดง VAT ( ) แสดง VAT  [default ไม่แสดง VAT]</t>
  </si>
  <si>
    <t>แสดง VAT (show_vat = true) ให้เลือก vat_type = E, I, N</t>
  </si>
  <si>
    <t>กำหนดรูปแบบ</t>
  </si>
  <si>
    <t>กรุณาเลือกรูปแบบการพิมพ์รายงาน</t>
  </si>
  <si>
    <t>( ) ไม่แสดง VAT</t>
  </si>
  <si>
    <t>(/) แสดง VAT</t>
  </si>
  <si>
    <t>ประเภทภาษีมูลค่าเพิ่ม *</t>
  </si>
  <si>
    <t>select</t>
  </si>
  <si>
    <t>ปิด</t>
  </si>
  <si>
    <t>พิมพ์</t>
  </si>
  <si>
    <t>การบันทึกข้อมูล</t>
  </si>
  <si>
    <t>default ข้อมูลดังนี้</t>
  </si>
  <si>
    <t>ou_code</t>
  </si>
  <si>
    <t>current login</t>
  </si>
  <si>
    <t>div_code</t>
  </si>
  <si>
    <t>เช็ค config จาก qo_setup</t>
  </si>
  <si>
    <t>curr_code</t>
  </si>
  <si>
    <t>THB (DB, TH_CURR_CODE)</t>
  </si>
  <si>
    <t>ex_rate</t>
  </si>
  <si>
    <t>select round(coalesce(db_get_exc_rate(@OuCode, db_get_parameter_desc(@OuCode, 'DB', 'DF_BANK_CODE', 'V'), curr_code, qo_date, 'B'), 0), 5)</t>
  </si>
  <si>
    <t>local_amt</t>
  </si>
  <si>
    <t>total_amt * ex_rate</t>
  </si>
  <si>
    <t>close_status</t>
  </si>
  <si>
    <t>status</t>
  </si>
  <si>
    <t>pro_det_id</t>
  </si>
  <si>
    <t>u_price_ex * qty</t>
  </si>
  <si>
    <t>tot_disc_amt</t>
  </si>
  <si>
    <t>gross_amt = ราคาต่อหน่วย * จำนวน</t>
  </si>
  <si>
    <t>net_amt</t>
  </si>
  <si>
    <t>&lt;-- ไม่ได้ทำเรื่องส่วนลดi ราย detail เลยใช้ยอดรวมไปเลย</t>
  </si>
  <si>
    <t>net_amt = gross_amt-ส่วนลด</t>
  </si>
  <si>
    <t>total_amt = net_amt + vat_amt;</t>
  </si>
  <si>
    <t>net_total_amt</t>
  </si>
  <si>
    <t>total_amt - tot_disc_amt</t>
  </si>
  <si>
    <t>คอมลัมน์นี้ไม่มี</t>
  </si>
  <si>
    <t xml:space="preserve">qo_detail_desc </t>
  </si>
  <si>
    <t>ถ้าเป็นรายการที่เกิดขึ้นใหม่ ให้เพิ่มประวัติใหม่เข้าไป</t>
  </si>
  <si>
    <t>item_desc = qo_detail.item_desc</t>
  </si>
  <si>
    <t>ถ้าเป็นรายการที่ถูกเลือกไปตั้งต้น ให้อัพเดทการอ้างอิง</t>
  </si>
  <si>
    <t>ตัวอย่างใบเสนอราคของ บริษัท</t>
  </si>
  <si>
    <t>หัวรายงาน เหมือนใน ORDER/ INVOICE</t>
  </si>
  <si>
    <t>เพิ่มเลขหน้า 1/1</t>
  </si>
  <si>
    <t>เรียน</t>
  </si>
  <si>
    <t>qo_master.contact_name</t>
  </si>
  <si>
    <t>รายละเอียดการชำระเงิน payment_detail</t>
  </si>
  <si>
    <t>qo_master.qo_title</t>
  </si>
  <si>
    <r>
      <rPr>
        <rFont val="Prompt"/>
        <b val="0"/>
        <color theme="1"/>
        <sz val="9.0"/>
        <u/>
      </rPr>
      <t xml:space="preserve">เช่น </t>
    </r>
    <r>
      <rPr>
        <rFont val="Prompt"/>
        <b/>
        <color theme="1"/>
        <sz val="9.0"/>
        <u/>
      </rPr>
      <t>Change Request 2/65</t>
    </r>
  </si>
  <si>
    <t>รายการ</t>
  </si>
  <si>
    <t>ชื่อสินค้า / บริการ + item_desc</t>
  </si>
  <si>
    <t>ราคาต่อหน่วย</t>
  </si>
  <si>
    <t>ราคาเสนอขาย (u_price_ex)</t>
  </si>
  <si>
    <t>จำนวน</t>
  </si>
  <si>
    <t>total price</t>
  </si>
  <si>
    <t>qo_master.total_amt</t>
  </si>
  <si>
    <t>ท้ายรายงานมี 2 แบบ</t>
  </si>
  <si>
    <t>ไม่แสดง VAT</t>
  </si>
  <si>
    <t>ตัดบรรทัดคำนวณ VAT ออก</t>
  </si>
  <si>
    <t>แสดง VAT</t>
  </si>
  <si>
    <t xml:space="preserve">คำนวฯ VAT ตามประเภท VAT ที่ส่งพารามิเตอร์มา </t>
  </si>
  <si>
    <t>เพิ่มข้อมูลส่วนลดด้วย เหมือน ORDER / INVOICE</t>
  </si>
  <si>
    <t xml:space="preserve">ขอเพิ่มคำอ่านยอดเงิน NET Price </t>
  </si>
  <si>
    <t>หมายเหตุ:</t>
  </si>
  <si>
    <t>qo_master.qo_remark</t>
  </si>
  <si>
    <t xml:space="preserve">qo_master.letter_closing </t>
  </si>
  <si>
    <t>ลายเซนต์มี 2 ช่อง</t>
  </si>
  <si>
    <t>วิธีคิดภาษี</t>
  </si>
  <si>
    <t>include VAT</t>
  </si>
  <si>
    <t>gross</t>
  </si>
  <si>
    <t>disc</t>
  </si>
  <si>
    <t>net</t>
  </si>
  <si>
    <t>vat</t>
  </si>
  <si>
    <t>tota_amt</t>
  </si>
  <si>
    <t>exclude VAT</t>
  </si>
  <si>
    <t>non VAT</t>
  </si>
  <si>
    <t>ข้อมูลบริษัทตัดส่วนท้ายรายงานออก ไปอยู่ส่วนหัวแล้ว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</si>
</sst>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9.0"/>
      <color theme="1"/>
      <name val="Prompt"/>
    </font>
    <font>
      <b/>
      <sz val="9.0"/>
      <color theme="1"/>
      <name val="Prompt"/>
    </font>
    <font>
      <color theme="1"/>
      <name val="Arial"/>
    </font>
    <font/>
    <font>
      <b/>
      <sz val="9.0"/>
      <color rgb="FF000000"/>
      <name val="Prompt"/>
    </font>
    <font>
      <sz val="9.0"/>
      <color rgb="FF000000"/>
      <name val="Prompt"/>
    </font>
    <font>
      <sz val="9.0"/>
      <color rgb="FF000000"/>
      <name val="Docs-Prompt"/>
    </font>
    <font>
      <b/>
      <u/>
      <sz val="9.0"/>
      <color theme="1"/>
      <name val="Prompt"/>
    </font>
    <font>
      <b/>
      <u/>
      <sz val="9.0"/>
      <color theme="1"/>
      <name val="Prompt"/>
    </font>
    <font>
      <sz val="9.0"/>
      <color rgb="FFFF0000"/>
      <name val="Prompt"/>
    </font>
    <font>
      <sz val="9.0"/>
      <color rgb="FFD9D9D9"/>
      <name val="Prompt"/>
    </font>
    <font>
      <i/>
      <sz val="9.0"/>
      <color rgb="FFFF0000"/>
      <name val="Prompt"/>
    </font>
    <font>
      <sz val="9.0"/>
      <color rgb="FFB7B7B7"/>
      <name val="Prompt"/>
    </font>
    <font>
      <b/>
      <u/>
      <sz val="9.0"/>
      <color theme="1"/>
      <name val="Prompt"/>
    </font>
    <font>
      <i/>
      <sz val="9.0"/>
      <color rgb="FF980000"/>
      <name val="Prompt"/>
    </font>
    <font>
      <u/>
      <sz val="9.0"/>
      <color rgb="FF0000FF"/>
      <name val="Prompt"/>
    </font>
    <font>
      <sz val="9.0"/>
      <color rgb="FF999999"/>
      <name val="Prompt"/>
    </font>
    <font>
      <u/>
      <sz val="9.0"/>
      <color theme="1"/>
      <name val="Prompt"/>
    </font>
    <font>
      <sz val="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0">
    <border/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000000"/>
      </left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2" numFmtId="0" xfId="0" applyAlignment="1" applyFont="1">
      <alignment horizontal="right" readingOrder="0" vertical="top"/>
    </xf>
    <xf borderId="0" fillId="2" fontId="2" numFmtId="0" xfId="0" applyAlignment="1" applyFont="1">
      <alignment readingOrder="0" shrinkToFit="0" vertical="top" wrapText="0"/>
    </xf>
    <xf borderId="0" fillId="2" fontId="3" numFmtId="0" xfId="0" applyAlignment="1" applyFont="1">
      <alignment readingOrder="0" vertical="top"/>
    </xf>
    <xf borderId="0" fillId="2" fontId="1" numFmtId="0" xfId="0" applyAlignment="1" applyFont="1">
      <alignment readingOrder="0" vertical="top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vertical="bottom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vertical="bottom"/>
    </xf>
    <xf borderId="18" fillId="0" fontId="3" numFmtId="0" xfId="0" applyAlignment="1" applyBorder="1" applyFont="1">
      <alignment vertical="bottom"/>
    </xf>
    <xf borderId="19" fillId="0" fontId="1" numFmtId="0" xfId="0" applyAlignment="1" applyBorder="1" applyFont="1">
      <alignment readingOrder="0"/>
    </xf>
    <xf borderId="19" fillId="0" fontId="1" numFmtId="0" xfId="0" applyBorder="1" applyFont="1"/>
    <xf borderId="20" fillId="0" fontId="1" numFmtId="0" xfId="0" applyBorder="1" applyFont="1"/>
    <xf borderId="21" fillId="0" fontId="1" numFmtId="0" xfId="0" applyAlignment="1" applyBorder="1" applyFont="1">
      <alignment readingOrder="0"/>
    </xf>
    <xf borderId="22" fillId="0" fontId="4" numFmtId="0" xfId="0" applyBorder="1" applyFont="1"/>
    <xf borderId="23" fillId="0" fontId="4" numFmtId="0" xfId="0" applyBorder="1" applyFont="1"/>
    <xf borderId="24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27" fillId="0" fontId="1" numFmtId="0" xfId="0" applyBorder="1" applyFont="1"/>
    <xf borderId="1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27" fillId="3" fontId="1" numFmtId="0" xfId="0" applyAlignment="1" applyBorder="1" applyFill="1" applyFont="1">
      <alignment horizontal="center" vertical="bottom"/>
    </xf>
    <xf borderId="23" fillId="0" fontId="1" numFmtId="0" xfId="0" applyAlignment="1" applyBorder="1" applyFont="1">
      <alignment horizontal="center" vertical="bottom"/>
    </xf>
    <xf quotePrefix="1" borderId="27" fillId="4" fontId="5" numFmtId="0" xfId="0" applyAlignment="1" applyBorder="1" applyFill="1" applyFont="1">
      <alignment horizontal="center" readingOrder="0" shrinkToFit="0" vertical="top" wrapText="0"/>
    </xf>
    <xf borderId="21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21" fillId="5" fontId="6" numFmtId="0" xfId="0" applyAlignment="1" applyBorder="1" applyFill="1" applyFont="1">
      <alignment horizontal="center" readingOrder="0"/>
    </xf>
    <xf borderId="27" fillId="0" fontId="1" numFmtId="0" xfId="0" applyAlignment="1" applyBorder="1" applyFont="1">
      <alignment readingOrder="0"/>
    </xf>
    <xf borderId="21" fillId="5" fontId="7" numFmtId="0" xfId="0" applyAlignment="1" applyBorder="1" applyFont="1">
      <alignment horizontal="center" readingOrder="0"/>
    </xf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4" fillId="0" fontId="11" numFmtId="0" xfId="0" applyAlignment="1" applyBorder="1" applyFont="1">
      <alignment horizontal="right" readingOrder="0"/>
    </xf>
    <xf borderId="31" fillId="0" fontId="1" numFmtId="0" xfId="0" applyAlignment="1" applyBorder="1" applyFont="1">
      <alignment readingOrder="0"/>
    </xf>
    <xf borderId="32" fillId="0" fontId="1" numFmtId="0" xfId="0" applyAlignment="1" applyBorder="1" applyFont="1">
      <alignment readingOrder="0"/>
    </xf>
    <xf borderId="31" fillId="3" fontId="1" numFmtId="0" xfId="0" applyAlignment="1" applyBorder="1" applyFont="1">
      <alignment horizontal="center" readingOrder="0"/>
    </xf>
    <xf borderId="33" fillId="0" fontId="4" numFmtId="0" xfId="0" applyBorder="1" applyFont="1"/>
    <xf borderId="32" fillId="0" fontId="4" numFmtId="0" xfId="0" applyBorder="1" applyFont="1"/>
    <xf borderId="12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33" fillId="0" fontId="1" numFmtId="0" xfId="0" applyAlignment="1" applyBorder="1" applyFont="1">
      <alignment readingOrder="0"/>
    </xf>
    <xf borderId="33" fillId="0" fontId="1" numFmtId="0" xfId="0" applyAlignment="1" applyBorder="1" applyFont="1">
      <alignment horizontal="center" readingOrder="0"/>
    </xf>
    <xf borderId="34" fillId="0" fontId="1" numFmtId="0" xfId="0" applyAlignment="1" applyBorder="1" applyFont="1">
      <alignment readingOrder="0"/>
    </xf>
    <xf borderId="35" fillId="0" fontId="1" numFmtId="0" xfId="0" applyAlignment="1" applyBorder="1" applyFont="1">
      <alignment readingOrder="0"/>
    </xf>
    <xf borderId="36" fillId="0" fontId="1" numFmtId="0" xfId="0" applyAlignment="1" applyBorder="1" applyFont="1">
      <alignment readingOrder="0"/>
    </xf>
    <xf borderId="37" fillId="0" fontId="1" numFmtId="0" xfId="0" applyAlignment="1" applyBorder="1" applyFont="1">
      <alignment readingOrder="0"/>
    </xf>
    <xf borderId="38" fillId="0" fontId="1" numFmtId="0" xfId="0" applyAlignment="1" applyBorder="1" applyFont="1">
      <alignment readingOrder="0"/>
    </xf>
    <xf borderId="28" fillId="0" fontId="1" numFmtId="0" xfId="0" applyAlignment="1" applyBorder="1" applyFont="1">
      <alignment readingOrder="0"/>
    </xf>
    <xf borderId="29" fillId="0" fontId="1" numFmtId="0" xfId="0" applyAlignment="1" applyBorder="1" applyFont="1">
      <alignment readingOrder="0"/>
    </xf>
    <xf borderId="30" fillId="0" fontId="1" numFmtId="0" xfId="0" applyAlignment="1" applyBorder="1" applyFont="1">
      <alignment readingOrder="0"/>
    </xf>
    <xf borderId="19" fillId="0" fontId="12" numFmtId="0" xfId="0" applyAlignment="1" applyBorder="1" applyFont="1">
      <alignment readingOrder="0"/>
    </xf>
    <xf borderId="37" fillId="0" fontId="1" numFmtId="0" xfId="0" applyBorder="1" applyFont="1"/>
    <xf borderId="39" fillId="0" fontId="1" numFmtId="0" xfId="0" applyAlignment="1" applyBorder="1" applyFont="1">
      <alignment readingOrder="0"/>
    </xf>
    <xf borderId="38" fillId="0" fontId="1" numFmtId="0" xfId="0" applyBorder="1" applyFont="1"/>
    <xf borderId="37" fillId="0" fontId="2" numFmtId="0" xfId="0" applyAlignment="1" applyBorder="1" applyFont="1">
      <alignment readingOrder="0"/>
    </xf>
    <xf borderId="19" fillId="0" fontId="2" numFmtId="0" xfId="0" applyAlignment="1" applyBorder="1" applyFont="1">
      <alignment readingOrder="0"/>
    </xf>
    <xf borderId="40" fillId="0" fontId="1" numFmtId="0" xfId="0" applyBorder="1" applyFont="1"/>
    <xf borderId="41" fillId="0" fontId="1" numFmtId="0" xfId="0" applyBorder="1" applyFont="1"/>
    <xf borderId="5" fillId="0" fontId="2" numFmtId="0" xfId="0" applyAlignment="1" applyBorder="1" applyFont="1">
      <alignment readingOrder="0"/>
    </xf>
    <xf borderId="21" fillId="0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1" fillId="6" fontId="1" numFmtId="0" xfId="0" applyAlignment="1" applyBorder="1" applyFill="1" applyFont="1">
      <alignment readingOrder="0"/>
    </xf>
    <xf borderId="21" fillId="0" fontId="11" numFmtId="0" xfId="0" applyAlignment="1" applyBorder="1" applyFont="1">
      <alignment horizontal="right" readingOrder="0"/>
    </xf>
    <xf borderId="21" fillId="0" fontId="6" numFmtId="0" xfId="0" applyAlignment="1" applyBorder="1" applyFont="1">
      <alignment horizontal="center" readingOrder="0"/>
    </xf>
    <xf borderId="21" fillId="6" fontId="1" numFmtId="0" xfId="0" applyAlignment="1" applyBorder="1" applyFont="1">
      <alignment horizontal="right" readingOrder="0"/>
    </xf>
    <xf borderId="21" fillId="0" fontId="13" numFmtId="0" xfId="0" applyAlignment="1" applyBorder="1" applyFont="1">
      <alignment horizontal="right" readingOrder="0"/>
    </xf>
    <xf borderId="5" fillId="0" fontId="2" numFmtId="0" xfId="0" applyAlignment="1" applyBorder="1" applyFont="1">
      <alignment horizontal="right" readingOrder="0"/>
    </xf>
    <xf borderId="42" fillId="0" fontId="2" numFmtId="0" xfId="0" applyAlignment="1" applyBorder="1" applyFont="1">
      <alignment horizontal="right" readingOrder="0"/>
    </xf>
    <xf borderId="43" fillId="0" fontId="4" numFmtId="0" xfId="0" applyBorder="1" applyFont="1"/>
    <xf borderId="5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right"/>
    </xf>
    <xf borderId="31" fillId="0" fontId="1" numFmtId="0" xfId="0" applyAlignment="1" applyBorder="1" applyFont="1">
      <alignment horizontal="right" readingOrder="0"/>
    </xf>
    <xf borderId="5" fillId="0" fontId="1" numFmtId="0" xfId="0" applyBorder="1" applyFont="1"/>
    <xf borderId="40" fillId="0" fontId="2" numFmtId="0" xfId="0" applyAlignment="1" applyBorder="1" applyFont="1">
      <alignment readingOrder="0"/>
    </xf>
    <xf borderId="27" fillId="0" fontId="1" numFmtId="4" xfId="0" applyAlignment="1" applyBorder="1" applyFont="1" applyNumberFormat="1">
      <alignment horizontal="right" readingOrder="0"/>
    </xf>
    <xf borderId="33" fillId="0" fontId="1" numFmtId="4" xfId="0" applyAlignment="1" applyBorder="1" applyFont="1" applyNumberFormat="1">
      <alignment horizontal="right" readingOrder="0"/>
    </xf>
    <xf borderId="21" fillId="0" fontId="1" numFmtId="0" xfId="0" applyAlignment="1" applyBorder="1" applyFont="1">
      <alignment horizontal="right" readingOrder="0"/>
    </xf>
    <xf borderId="31" fillId="0" fontId="14" numFmtId="0" xfId="0" applyAlignment="1" applyBorder="1" applyFont="1">
      <alignment horizontal="right" readingOrder="0"/>
    </xf>
    <xf borderId="5" fillId="0" fontId="2" numFmtId="0" xfId="0" applyBorder="1" applyFont="1"/>
    <xf borderId="5" fillId="0" fontId="12" numFmtId="0" xfId="0" applyAlignment="1" applyBorder="1" applyFont="1">
      <alignment readingOrder="0"/>
    </xf>
    <xf borderId="22" fillId="0" fontId="2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9" fillId="0" fontId="2" numFmtId="0" xfId="0" applyAlignment="1" applyBorder="1" applyFont="1">
      <alignment horizontal="right" readingOrder="0"/>
    </xf>
    <xf borderId="0" fillId="5" fontId="5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6" fillId="0" fontId="2" numFmtId="0" xfId="0" applyAlignment="1" applyBorder="1" applyFont="1">
      <alignment readingOrder="0"/>
    </xf>
    <xf borderId="0" fillId="5" fontId="6" numFmtId="0" xfId="0" applyAlignment="1" applyFont="1">
      <alignment horizontal="left" readingOrder="0"/>
    </xf>
    <xf borderId="21" fillId="0" fontId="17" numFmtId="0" xfId="0" applyAlignment="1" applyBorder="1" applyFont="1">
      <alignment horizontal="right" readingOrder="0"/>
    </xf>
    <xf borderId="31" fillId="0" fontId="1" numFmtId="0" xfId="0" applyBorder="1" applyFont="1"/>
    <xf borderId="27" fillId="3" fontId="2" numFmtId="0" xfId="0" applyAlignment="1" applyBorder="1" applyFont="1">
      <alignment horizontal="center" readingOrder="0"/>
    </xf>
    <xf borderId="39" fillId="0" fontId="1" numFmtId="0" xfId="0" applyBorder="1" applyFont="1"/>
    <xf borderId="0" fillId="0" fontId="18" numFmtId="0" xfId="0" applyAlignment="1" applyFont="1">
      <alignment readingOrder="0"/>
    </xf>
    <xf borderId="44" fillId="0" fontId="1" numFmtId="0" xfId="0" applyBorder="1" applyFont="1"/>
    <xf borderId="45" fillId="0" fontId="1" numFmtId="0" xfId="0" applyBorder="1" applyFont="1"/>
    <xf borderId="46" fillId="0" fontId="1" numFmtId="0" xfId="0" applyBorder="1" applyFont="1"/>
    <xf borderId="47" fillId="0" fontId="1" numFmtId="0" xfId="0" applyBorder="1" applyFont="1"/>
    <xf borderId="0" fillId="0" fontId="1" numFmtId="0" xfId="0" applyAlignment="1" applyFont="1">
      <alignment readingOrder="0" shrinkToFit="0" vertical="bottom" wrapText="0"/>
    </xf>
    <xf borderId="48" fillId="0" fontId="1" numFmtId="0" xfId="0" applyBorder="1" applyFont="1"/>
    <xf borderId="0" fillId="0" fontId="1" numFmtId="0" xfId="0" applyAlignment="1" applyFont="1">
      <alignment shrinkToFit="0" vertical="bottom" wrapText="0"/>
    </xf>
    <xf borderId="16" fillId="0" fontId="1" numFmtId="0" xfId="0" applyBorder="1" applyFont="1"/>
    <xf borderId="49" fillId="0" fontId="1" numFmtId="0" xfId="0" applyBorder="1" applyFont="1"/>
    <xf borderId="18" fillId="0" fontId="1" numFmtId="0" xfId="0" applyBorder="1" applyFont="1"/>
    <xf borderId="0" fillId="3" fontId="1" numFmtId="0" xfId="0" applyAlignment="1" applyFont="1">
      <alignment readingOrder="0"/>
    </xf>
    <xf borderId="0" fillId="3" fontId="1" numFmtId="0" xfId="0" applyFont="1"/>
    <xf borderId="0" fillId="0" fontId="2" numFmtId="0" xfId="0" applyAlignment="1" applyFont="1">
      <alignment readingOrder="0"/>
    </xf>
    <xf borderId="0" fillId="0" fontId="19" numFmtId="0" xfId="0" applyFont="1"/>
    <xf borderId="0" fillId="5" fontId="7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2" xfId="0" applyAlignment="1" applyFont="1" applyNumberFormat="1">
      <alignment horizontal="right" readingOrder="0" shrinkToFit="0" vertical="bottom" wrapText="0"/>
    </xf>
    <xf borderId="0" fillId="0" fontId="6" numFmtId="2" xfId="0" applyAlignment="1" applyFont="1" applyNumberFormat="1">
      <alignment shrinkToFit="0" vertical="bottom" wrapText="0"/>
    </xf>
    <xf borderId="0" fillId="0" fontId="5" numFmtId="2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8258175" cy="11420475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u_content.id/" TargetMode="External"/><Relationship Id="rId3" Type="http://schemas.openxmlformats.org/officeDocument/2006/relationships/hyperlink" Target="http://su_content.id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7" width="6.88"/>
  </cols>
  <sheetData>
    <row r="1">
      <c r="A1" s="1"/>
      <c r="B1" s="2" t="s">
        <v>0</v>
      </c>
      <c r="C1" s="3" t="s">
        <v>1</v>
      </c>
      <c r="D1" s="1"/>
      <c r="E1" s="1"/>
      <c r="F1" s="4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>
      <c r="A2" s="6"/>
      <c r="B2" s="7" t="s">
        <v>2</v>
      </c>
      <c r="C2" s="6"/>
      <c r="D2" s="8" t="s">
        <v>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>
      <c r="A3" s="6"/>
      <c r="B3" s="7" t="s">
        <v>4</v>
      </c>
      <c r="D3" s="8" t="s">
        <v>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>
      <c r="A4" s="6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>
      <c r="A5" s="6"/>
      <c r="B5" s="7" t="s">
        <v>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>
      <c r="A6" s="6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>
      <c r="A7" s="6"/>
      <c r="B7" s="12"/>
      <c r="C7" s="13" t="s">
        <v>7</v>
      </c>
      <c r="D7" s="14"/>
      <c r="E7" s="14"/>
      <c r="F7" s="14"/>
      <c r="G7" s="14"/>
      <c r="H7" s="14"/>
      <c r="I7" s="14"/>
      <c r="J7" s="14"/>
      <c r="K7" s="14"/>
      <c r="L7" s="15"/>
      <c r="M7" s="16" t="s">
        <v>8</v>
      </c>
      <c r="N7" s="17"/>
      <c r="O7" s="17"/>
      <c r="P7" s="17"/>
      <c r="Q7" s="17"/>
      <c r="R7" s="17"/>
      <c r="S7" s="17"/>
      <c r="T7" s="17"/>
      <c r="U7" s="17"/>
      <c r="V7" s="18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>
      <c r="A8" s="6"/>
      <c r="B8" s="19"/>
      <c r="C8" s="20" t="s">
        <v>9</v>
      </c>
      <c r="D8" s="21"/>
      <c r="E8" s="21"/>
      <c r="F8" s="21"/>
      <c r="G8" s="21"/>
      <c r="H8" s="21"/>
      <c r="I8" s="22"/>
      <c r="J8" s="21"/>
      <c r="K8" s="23"/>
      <c r="L8" s="24"/>
      <c r="M8" s="25" t="s">
        <v>9</v>
      </c>
      <c r="N8" s="26"/>
      <c r="O8" s="26"/>
      <c r="P8" s="26"/>
      <c r="Q8" s="26"/>
      <c r="R8" s="26"/>
      <c r="S8" s="26"/>
      <c r="T8" s="26"/>
      <c r="U8" s="27"/>
      <c r="V8" s="18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>
      <c r="A9" s="6"/>
      <c r="B9" s="12"/>
      <c r="C9" s="28" t="s">
        <v>10</v>
      </c>
      <c r="D9" s="29"/>
      <c r="E9" s="29"/>
      <c r="F9" s="29"/>
      <c r="G9" s="30"/>
      <c r="H9" s="28" t="s">
        <v>11</v>
      </c>
      <c r="I9" s="29"/>
      <c r="J9" s="29"/>
      <c r="K9" s="29"/>
      <c r="L9" s="15"/>
      <c r="M9" s="28" t="s">
        <v>12</v>
      </c>
      <c r="N9" s="30"/>
      <c r="O9" s="30"/>
      <c r="P9" s="30"/>
      <c r="Q9" s="15"/>
      <c r="R9" s="28" t="s">
        <v>13</v>
      </c>
      <c r="S9" s="15"/>
      <c r="T9" s="15"/>
      <c r="U9" s="15"/>
      <c r="V9" s="18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>
      <c r="A10" s="6"/>
      <c r="B10" s="19"/>
      <c r="C10" s="31" t="s">
        <v>9</v>
      </c>
      <c r="D10" s="32"/>
      <c r="E10" s="32"/>
      <c r="F10" s="33"/>
      <c r="G10" s="24"/>
      <c r="H10" s="20" t="s">
        <v>9</v>
      </c>
      <c r="I10" s="21"/>
      <c r="J10" s="21"/>
      <c r="K10" s="23"/>
      <c r="L10" s="34"/>
      <c r="M10" s="31" t="s">
        <v>9</v>
      </c>
      <c r="N10" s="32"/>
      <c r="O10" s="32"/>
      <c r="P10" s="33"/>
      <c r="Q10" s="15"/>
      <c r="R10" s="31" t="s">
        <v>9</v>
      </c>
      <c r="S10" s="32"/>
      <c r="T10" s="32"/>
      <c r="U10" s="33"/>
      <c r="V10" s="35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>
      <c r="A11" s="6"/>
      <c r="B11" s="12"/>
      <c r="C11" s="28" t="s">
        <v>14</v>
      </c>
      <c r="D11" s="30"/>
      <c r="E11" s="30"/>
      <c r="F11" s="30"/>
      <c r="G11" s="15"/>
      <c r="H11" s="28" t="s">
        <v>15</v>
      </c>
      <c r="I11" s="15"/>
      <c r="J11" s="15"/>
      <c r="K11" s="15"/>
      <c r="L11" s="15"/>
      <c r="M11" s="30"/>
      <c r="N11" s="30"/>
      <c r="O11" s="30"/>
      <c r="P11" s="30"/>
      <c r="Q11" s="30"/>
      <c r="R11" s="30"/>
      <c r="S11" s="30"/>
      <c r="T11" s="30"/>
      <c r="U11" s="30"/>
      <c r="V11" s="18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>
      <c r="A12" s="6"/>
      <c r="B12" s="12"/>
      <c r="C12" s="31" t="s">
        <v>9</v>
      </c>
      <c r="D12" s="32"/>
      <c r="E12" s="32"/>
      <c r="F12" s="33"/>
      <c r="G12" s="15"/>
      <c r="H12" s="31" t="s">
        <v>9</v>
      </c>
      <c r="I12" s="32"/>
      <c r="J12" s="32"/>
      <c r="K12" s="33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8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>
      <c r="A13" s="6"/>
      <c r="B13" s="12"/>
      <c r="C13" s="28" t="s">
        <v>16</v>
      </c>
      <c r="D13" s="14"/>
      <c r="E13" s="14"/>
      <c r="F13" s="14"/>
      <c r="G13" s="14"/>
      <c r="H13" s="14"/>
      <c r="I13" s="14"/>
      <c r="J13" s="14"/>
      <c r="K13" s="14"/>
      <c r="L13" s="15"/>
      <c r="M13" s="13" t="s">
        <v>17</v>
      </c>
      <c r="N13" s="15"/>
      <c r="O13" s="15"/>
      <c r="P13" s="15"/>
      <c r="Q13" s="15"/>
      <c r="R13" s="15"/>
      <c r="S13" s="15"/>
      <c r="T13" s="15"/>
      <c r="U13" s="15"/>
      <c r="V13" s="18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>
      <c r="A14" s="6"/>
      <c r="B14" s="19"/>
      <c r="C14" s="31" t="s">
        <v>9</v>
      </c>
      <c r="D14" s="32"/>
      <c r="E14" s="32"/>
      <c r="F14" s="32"/>
      <c r="G14" s="32"/>
      <c r="H14" s="32"/>
      <c r="I14" s="32"/>
      <c r="J14" s="32"/>
      <c r="K14" s="33"/>
      <c r="L14" s="36"/>
      <c r="M14" s="37"/>
      <c r="N14" s="38" t="b">
        <v>0</v>
      </c>
      <c r="O14" s="39" t="s">
        <v>18</v>
      </c>
      <c r="P14" s="15"/>
      <c r="Q14" s="15"/>
      <c r="R14" s="15"/>
      <c r="S14" s="15"/>
      <c r="T14" s="15"/>
      <c r="U14" s="15"/>
      <c r="V14" s="18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>
      <c r="A15" s="6"/>
      <c r="B15" s="12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15"/>
      <c r="O15" s="15"/>
      <c r="P15" s="15"/>
      <c r="Q15" s="15"/>
      <c r="R15" s="15"/>
      <c r="S15" s="15"/>
      <c r="T15" s="15"/>
      <c r="U15" s="15"/>
      <c r="V15" s="18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>
      <c r="A16" s="6"/>
      <c r="B16" s="12"/>
      <c r="C16" s="15"/>
      <c r="D16" s="15"/>
      <c r="E16" s="15"/>
      <c r="F16" s="15"/>
      <c r="G16" s="15"/>
      <c r="H16" s="15"/>
      <c r="I16" s="15"/>
      <c r="J16" s="15"/>
      <c r="K16" s="40" t="s">
        <v>19</v>
      </c>
      <c r="L16" s="41" t="s">
        <v>20</v>
      </c>
      <c r="M16" s="15"/>
      <c r="N16" s="15"/>
      <c r="O16" s="15"/>
      <c r="P16" s="15"/>
      <c r="Q16" s="15"/>
      <c r="R16" s="15"/>
      <c r="S16" s="15"/>
      <c r="T16" s="15"/>
      <c r="U16" s="15"/>
      <c r="V16" s="18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>
      <c r="A17" s="6"/>
      <c r="B17" s="12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42" t="s">
        <v>21</v>
      </c>
      <c r="V17" s="18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>
      <c r="A18" s="6"/>
      <c r="B18" s="19"/>
      <c r="C18" s="43" t="s">
        <v>16</v>
      </c>
      <c r="D18" s="33"/>
      <c r="E18" s="44" t="s">
        <v>17</v>
      </c>
      <c r="F18" s="43" t="s">
        <v>22</v>
      </c>
      <c r="G18" s="32"/>
      <c r="H18" s="32"/>
      <c r="I18" s="33"/>
      <c r="J18" s="43" t="s">
        <v>23</v>
      </c>
      <c r="K18" s="32"/>
      <c r="L18" s="33"/>
      <c r="M18" s="43" t="s">
        <v>24</v>
      </c>
      <c r="N18" s="33"/>
      <c r="O18" s="43" t="s">
        <v>25</v>
      </c>
      <c r="P18" s="33"/>
      <c r="Q18" s="45" t="s">
        <v>26</v>
      </c>
      <c r="R18" s="33"/>
      <c r="S18" s="45" t="s">
        <v>27</v>
      </c>
      <c r="T18" s="33"/>
      <c r="U18" s="46" t="s">
        <v>28</v>
      </c>
      <c r="V18" s="35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>
      <c r="A19" s="6"/>
      <c r="B19" s="19"/>
      <c r="C19" s="43"/>
      <c r="D19" s="33"/>
      <c r="E19" s="44"/>
      <c r="F19" s="43"/>
      <c r="G19" s="32"/>
      <c r="H19" s="32"/>
      <c r="I19" s="33"/>
      <c r="J19" s="43"/>
      <c r="K19" s="32"/>
      <c r="L19" s="33"/>
      <c r="M19" s="43"/>
      <c r="N19" s="33"/>
      <c r="O19" s="31"/>
      <c r="P19" s="33"/>
      <c r="Q19" s="47"/>
      <c r="R19" s="33"/>
      <c r="S19" s="45"/>
      <c r="T19" s="33"/>
      <c r="U19" s="46"/>
      <c r="V19" s="35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>
      <c r="A20" s="6"/>
      <c r="B20" s="19"/>
      <c r="C20" s="43"/>
      <c r="D20" s="33"/>
      <c r="E20" s="44"/>
      <c r="F20" s="43"/>
      <c r="G20" s="32"/>
      <c r="H20" s="32"/>
      <c r="I20" s="33"/>
      <c r="J20" s="43"/>
      <c r="K20" s="32"/>
      <c r="L20" s="33"/>
      <c r="M20" s="43"/>
      <c r="N20" s="33"/>
      <c r="O20" s="31"/>
      <c r="P20" s="33"/>
      <c r="Q20" s="47"/>
      <c r="R20" s="33"/>
      <c r="S20" s="45"/>
      <c r="T20" s="33"/>
      <c r="U20" s="46"/>
      <c r="V20" s="35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>
      <c r="A21" s="6"/>
      <c r="B21" s="19"/>
      <c r="C21" s="43"/>
      <c r="D21" s="33"/>
      <c r="E21" s="44"/>
      <c r="F21" s="43"/>
      <c r="G21" s="32"/>
      <c r="H21" s="32"/>
      <c r="I21" s="33"/>
      <c r="J21" s="43"/>
      <c r="K21" s="32"/>
      <c r="L21" s="33"/>
      <c r="M21" s="43"/>
      <c r="N21" s="33"/>
      <c r="O21" s="31"/>
      <c r="P21" s="33"/>
      <c r="Q21" s="47"/>
      <c r="R21" s="33"/>
      <c r="S21" s="45"/>
      <c r="T21" s="33"/>
      <c r="U21" s="46"/>
      <c r="V21" s="35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>
      <c r="A22" s="6"/>
      <c r="B22" s="19"/>
      <c r="C22" s="43"/>
      <c r="D22" s="33"/>
      <c r="E22" s="44"/>
      <c r="F22" s="43"/>
      <c r="G22" s="32"/>
      <c r="H22" s="32"/>
      <c r="I22" s="33"/>
      <c r="J22" s="43"/>
      <c r="K22" s="32"/>
      <c r="L22" s="33"/>
      <c r="M22" s="43"/>
      <c r="N22" s="33"/>
      <c r="O22" s="31"/>
      <c r="P22" s="33"/>
      <c r="Q22" s="47"/>
      <c r="R22" s="33"/>
      <c r="S22" s="45"/>
      <c r="T22" s="33"/>
      <c r="U22" s="46"/>
      <c r="V22" s="35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>
      <c r="A23" s="6"/>
      <c r="B23" s="19"/>
      <c r="C23" s="43"/>
      <c r="D23" s="33"/>
      <c r="E23" s="44"/>
      <c r="F23" s="43"/>
      <c r="G23" s="32"/>
      <c r="H23" s="32"/>
      <c r="I23" s="33"/>
      <c r="J23" s="43"/>
      <c r="K23" s="32"/>
      <c r="L23" s="33"/>
      <c r="M23" s="43"/>
      <c r="N23" s="33"/>
      <c r="O23" s="31"/>
      <c r="P23" s="33"/>
      <c r="Q23" s="47"/>
      <c r="R23" s="33"/>
      <c r="S23" s="45"/>
      <c r="T23" s="33"/>
      <c r="U23" s="46"/>
      <c r="V23" s="35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>
      <c r="A24" s="6"/>
      <c r="B24" s="19"/>
      <c r="C24" s="43"/>
      <c r="D24" s="33"/>
      <c r="E24" s="44"/>
      <c r="F24" s="43"/>
      <c r="G24" s="32"/>
      <c r="H24" s="32"/>
      <c r="I24" s="33"/>
      <c r="J24" s="43"/>
      <c r="K24" s="32"/>
      <c r="L24" s="33"/>
      <c r="M24" s="43"/>
      <c r="N24" s="33"/>
      <c r="O24" s="31"/>
      <c r="P24" s="33"/>
      <c r="Q24" s="47"/>
      <c r="R24" s="33"/>
      <c r="S24" s="45"/>
      <c r="T24" s="33"/>
      <c r="U24" s="46"/>
      <c r="V24" s="35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>
      <c r="A25" s="6"/>
      <c r="B25" s="19"/>
      <c r="C25" s="43"/>
      <c r="D25" s="33"/>
      <c r="E25" s="44"/>
      <c r="F25" s="43"/>
      <c r="G25" s="32"/>
      <c r="H25" s="32"/>
      <c r="I25" s="33"/>
      <c r="J25" s="43"/>
      <c r="K25" s="32"/>
      <c r="L25" s="33"/>
      <c r="M25" s="43"/>
      <c r="N25" s="33"/>
      <c r="O25" s="31"/>
      <c r="P25" s="33"/>
      <c r="Q25" s="47"/>
      <c r="R25" s="33"/>
      <c r="S25" s="45"/>
      <c r="T25" s="33"/>
      <c r="U25" s="46"/>
      <c r="V25" s="35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>
      <c r="A26" s="6"/>
      <c r="B26" s="19"/>
      <c r="C26" s="43"/>
      <c r="D26" s="33"/>
      <c r="E26" s="44"/>
      <c r="F26" s="43"/>
      <c r="G26" s="32"/>
      <c r="H26" s="32"/>
      <c r="I26" s="33"/>
      <c r="J26" s="43"/>
      <c r="K26" s="32"/>
      <c r="L26" s="33"/>
      <c r="M26" s="43"/>
      <c r="N26" s="33"/>
      <c r="O26" s="31"/>
      <c r="P26" s="33"/>
      <c r="Q26" s="47"/>
      <c r="R26" s="33"/>
      <c r="S26" s="45"/>
      <c r="T26" s="33"/>
      <c r="U26" s="46"/>
      <c r="V26" s="35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>
      <c r="A27" s="6"/>
      <c r="B27" s="19"/>
      <c r="C27" s="43"/>
      <c r="D27" s="33"/>
      <c r="E27" s="44"/>
      <c r="F27" s="43"/>
      <c r="G27" s="32"/>
      <c r="H27" s="32"/>
      <c r="I27" s="33"/>
      <c r="J27" s="43"/>
      <c r="K27" s="32"/>
      <c r="L27" s="33"/>
      <c r="M27" s="43"/>
      <c r="N27" s="33"/>
      <c r="O27" s="31"/>
      <c r="P27" s="33"/>
      <c r="Q27" s="47"/>
      <c r="R27" s="33"/>
      <c r="S27" s="45"/>
      <c r="T27" s="33"/>
      <c r="U27" s="46"/>
      <c r="V27" s="35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>
      <c r="A28" s="6"/>
      <c r="B28" s="19"/>
      <c r="C28" s="43"/>
      <c r="D28" s="33"/>
      <c r="E28" s="44"/>
      <c r="F28" s="43"/>
      <c r="G28" s="32"/>
      <c r="H28" s="32"/>
      <c r="I28" s="33"/>
      <c r="J28" s="43"/>
      <c r="K28" s="32"/>
      <c r="L28" s="33"/>
      <c r="M28" s="43"/>
      <c r="N28" s="33"/>
      <c r="O28" s="31"/>
      <c r="P28" s="33"/>
      <c r="Q28" s="47"/>
      <c r="R28" s="33"/>
      <c r="S28" s="45"/>
      <c r="T28" s="33"/>
      <c r="U28" s="46"/>
      <c r="V28" s="35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>
      <c r="A29" s="6"/>
      <c r="B29" s="19"/>
      <c r="C29" s="43"/>
      <c r="D29" s="33"/>
      <c r="E29" s="44"/>
      <c r="F29" s="43"/>
      <c r="G29" s="32"/>
      <c r="H29" s="32"/>
      <c r="I29" s="33"/>
      <c r="J29" s="43"/>
      <c r="K29" s="32"/>
      <c r="L29" s="33"/>
      <c r="M29" s="43"/>
      <c r="N29" s="33"/>
      <c r="O29" s="31"/>
      <c r="P29" s="33"/>
      <c r="Q29" s="47"/>
      <c r="R29" s="33"/>
      <c r="S29" s="45"/>
      <c r="T29" s="33"/>
      <c r="U29" s="46"/>
      <c r="V29" s="35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>
      <c r="A30" s="6"/>
      <c r="B30" s="19"/>
      <c r="C30" s="43"/>
      <c r="D30" s="33"/>
      <c r="E30" s="44"/>
      <c r="F30" s="43"/>
      <c r="G30" s="32"/>
      <c r="H30" s="32"/>
      <c r="I30" s="33"/>
      <c r="J30" s="43"/>
      <c r="K30" s="32"/>
      <c r="L30" s="33"/>
      <c r="M30" s="43"/>
      <c r="N30" s="33"/>
      <c r="O30" s="31"/>
      <c r="P30" s="33"/>
      <c r="Q30" s="47"/>
      <c r="R30" s="33"/>
      <c r="S30" s="45"/>
      <c r="T30" s="33"/>
      <c r="U30" s="46"/>
      <c r="V30" s="35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>
      <c r="A31" s="6"/>
      <c r="B31" s="19"/>
      <c r="C31" s="43"/>
      <c r="D31" s="33"/>
      <c r="E31" s="44"/>
      <c r="F31" s="43"/>
      <c r="G31" s="32"/>
      <c r="H31" s="32"/>
      <c r="I31" s="33"/>
      <c r="J31" s="43"/>
      <c r="K31" s="32"/>
      <c r="L31" s="33"/>
      <c r="M31" s="43"/>
      <c r="N31" s="33"/>
      <c r="O31" s="31"/>
      <c r="P31" s="33"/>
      <c r="Q31" s="47"/>
      <c r="R31" s="33"/>
      <c r="S31" s="45"/>
      <c r="T31" s="33"/>
      <c r="U31" s="46"/>
      <c r="V31" s="35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>
      <c r="A32" s="6"/>
      <c r="B32" s="12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18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>
      <c r="A33" s="6"/>
      <c r="B33" s="48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50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>
      <c r="A35" s="6"/>
      <c r="C35" s="51" t="s">
        <v>29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>
      <c r="A36" s="6"/>
      <c r="B36" s="8"/>
      <c r="C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>
      <c r="A37" s="6"/>
      <c r="B37" s="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>
      <c r="A38" s="6"/>
      <c r="B38" s="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>
      <c r="A39" s="6"/>
      <c r="B39" s="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>
      <c r="A40" s="6"/>
      <c r="B40" s="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>
      <c r="A41" s="6"/>
      <c r="B41" s="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>
      <c r="A42" s="6"/>
      <c r="B42" s="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>
      <c r="A43" s="6"/>
      <c r="B43" s="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>
      <c r="A44" s="6"/>
      <c r="B44" s="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>
      <c r="A45" s="6"/>
      <c r="B45" s="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>
      <c r="A46" s="6"/>
      <c r="B46" s="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>
      <c r="A47" s="6"/>
      <c r="B47" s="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>
      <c r="A48" s="6"/>
      <c r="B48" s="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>
      <c r="A49" s="6"/>
      <c r="B49" s="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>
      <c r="A50" s="6"/>
      <c r="B50" s="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>
      <c r="A51" s="6"/>
      <c r="B51" s="52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>
      <c r="A52" s="6"/>
      <c r="B52" s="52" t="s">
        <v>30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>
      <c r="A53" s="6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53"/>
      <c r="S53" s="6"/>
      <c r="T53" s="6"/>
      <c r="U53" s="6"/>
      <c r="V53" s="54" t="s">
        <v>31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>
      <c r="A54" s="6"/>
      <c r="B54" s="55" t="s">
        <v>32</v>
      </c>
      <c r="C54" s="10"/>
      <c r="D54" s="10"/>
      <c r="E54" s="56" t="s">
        <v>33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>
      <c r="A55" s="6"/>
      <c r="B55" s="12"/>
      <c r="C55" s="13" t="s">
        <v>34</v>
      </c>
      <c r="D55" s="13"/>
      <c r="E55" s="13"/>
      <c r="F55" s="13"/>
      <c r="G55" s="13"/>
      <c r="H55" s="13"/>
      <c r="I55" s="13"/>
      <c r="J55" s="13"/>
      <c r="K55" s="13"/>
      <c r="L55" s="13"/>
      <c r="M55" s="13" t="s">
        <v>35</v>
      </c>
      <c r="N55" s="13"/>
      <c r="O55" s="13"/>
      <c r="P55" s="13"/>
      <c r="Q55" s="13"/>
      <c r="R55" s="13" t="s">
        <v>27</v>
      </c>
      <c r="S55" s="13"/>
      <c r="T55" s="13"/>
      <c r="U55" s="13"/>
      <c r="V55" s="18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>
      <c r="A56" s="6"/>
      <c r="B56" s="12"/>
      <c r="C56" s="20" t="s">
        <v>36</v>
      </c>
      <c r="D56" s="21"/>
      <c r="E56" s="21"/>
      <c r="F56" s="21"/>
      <c r="G56" s="21"/>
      <c r="H56" s="21"/>
      <c r="I56" s="22"/>
      <c r="J56" s="21"/>
      <c r="K56" s="57" t="s">
        <v>9</v>
      </c>
      <c r="L56" s="58"/>
      <c r="M56" s="43" t="s">
        <v>37</v>
      </c>
      <c r="N56" s="32"/>
      <c r="O56" s="32"/>
      <c r="P56" s="33"/>
      <c r="Q56" s="59"/>
      <c r="R56" s="60" t="s">
        <v>38</v>
      </c>
      <c r="S56" s="61"/>
      <c r="T56" s="61"/>
      <c r="U56" s="62"/>
      <c r="V56" s="18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>
      <c r="A57" s="6"/>
      <c r="B57" s="12"/>
      <c r="C57" s="13" t="s">
        <v>39</v>
      </c>
      <c r="D57" s="13"/>
      <c r="E57" s="13"/>
      <c r="F57" s="13"/>
      <c r="G57" s="13"/>
      <c r="H57" s="13"/>
      <c r="I57" s="13" t="s">
        <v>17</v>
      </c>
      <c r="J57" s="13"/>
      <c r="K57" s="13"/>
      <c r="L57" s="13"/>
      <c r="M57" s="28" t="s">
        <v>24</v>
      </c>
      <c r="N57" s="28"/>
      <c r="O57" s="28"/>
      <c r="P57" s="28"/>
      <c r="Q57" s="13"/>
      <c r="R57" s="13" t="s">
        <v>40</v>
      </c>
      <c r="S57" s="13"/>
      <c r="T57" s="13"/>
      <c r="U57" s="13"/>
      <c r="V57" s="18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>
      <c r="A58" s="6"/>
      <c r="B58" s="19"/>
      <c r="C58" s="43" t="s">
        <v>41</v>
      </c>
      <c r="D58" s="32"/>
      <c r="E58" s="32"/>
      <c r="F58" s="33"/>
      <c r="G58" s="59" t="b">
        <v>1</v>
      </c>
      <c r="H58" s="58" t="s">
        <v>42</v>
      </c>
      <c r="I58" s="20" t="s">
        <v>43</v>
      </c>
      <c r="J58" s="63"/>
      <c r="K58" s="64"/>
      <c r="L58" s="65"/>
      <c r="M58" s="43" t="s">
        <v>44</v>
      </c>
      <c r="N58" s="32"/>
      <c r="O58" s="32"/>
      <c r="P58" s="33"/>
      <c r="Q58" s="66" t="s">
        <v>45</v>
      </c>
      <c r="R58" s="43" t="s">
        <v>46</v>
      </c>
      <c r="S58" s="32"/>
      <c r="T58" s="32"/>
      <c r="U58" s="33"/>
      <c r="V58" s="35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>
      <c r="A59" s="6"/>
      <c r="B59" s="12"/>
      <c r="C59" s="28" t="s">
        <v>47</v>
      </c>
      <c r="D59" s="28"/>
      <c r="E59" s="28"/>
      <c r="F59" s="28"/>
      <c r="G59" s="13"/>
      <c r="H59" s="13"/>
      <c r="I59" s="28"/>
      <c r="J59" s="28"/>
      <c r="K59" s="28"/>
      <c r="L59" s="13"/>
      <c r="M59" s="28" t="s">
        <v>8</v>
      </c>
      <c r="N59" s="28"/>
      <c r="O59" s="28"/>
      <c r="P59" s="28"/>
      <c r="Q59" s="13"/>
      <c r="R59" s="28"/>
      <c r="S59" s="28"/>
      <c r="T59" s="28"/>
      <c r="U59" s="28"/>
      <c r="V59" s="18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>
      <c r="A60" s="6"/>
      <c r="B60" s="12"/>
      <c r="C60" s="20" t="s">
        <v>48</v>
      </c>
      <c r="D60" s="21"/>
      <c r="E60" s="21"/>
      <c r="F60" s="21"/>
      <c r="G60" s="21"/>
      <c r="H60" s="21"/>
      <c r="I60" s="22"/>
      <c r="J60" s="21"/>
      <c r="K60" s="57" t="s">
        <v>9</v>
      </c>
      <c r="L60" s="58"/>
      <c r="M60" s="20" t="s">
        <v>49</v>
      </c>
      <c r="N60" s="21"/>
      <c r="O60" s="21"/>
      <c r="P60" s="21"/>
      <c r="Q60" s="21"/>
      <c r="R60" s="21"/>
      <c r="S60" s="22"/>
      <c r="T60" s="21"/>
      <c r="U60" s="57" t="s">
        <v>9</v>
      </c>
      <c r="V60" s="35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>
      <c r="A61" s="6"/>
      <c r="B61" s="12"/>
      <c r="C61" s="13" t="s">
        <v>50</v>
      </c>
      <c r="D61" s="13"/>
      <c r="E61" s="13"/>
      <c r="F61" s="13"/>
      <c r="G61" s="13"/>
      <c r="H61" s="28" t="s">
        <v>51</v>
      </c>
      <c r="I61" s="28"/>
      <c r="J61" s="28"/>
      <c r="K61" s="28"/>
      <c r="L61" s="13"/>
      <c r="M61" s="28" t="s">
        <v>52</v>
      </c>
      <c r="N61" s="28"/>
      <c r="O61" s="28"/>
      <c r="P61" s="28"/>
      <c r="Q61" s="28"/>
      <c r="R61" s="28"/>
      <c r="S61" s="28"/>
      <c r="T61" s="28"/>
      <c r="U61" s="28"/>
      <c r="V61" s="18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>
      <c r="A62" s="6"/>
      <c r="B62" s="19"/>
      <c r="C62" s="20" t="s">
        <v>53</v>
      </c>
      <c r="D62" s="63"/>
      <c r="E62" s="63"/>
      <c r="F62" s="57" t="s">
        <v>9</v>
      </c>
      <c r="G62" s="65"/>
      <c r="H62" s="20" t="s">
        <v>54</v>
      </c>
      <c r="I62" s="63"/>
      <c r="J62" s="63"/>
      <c r="K62" s="57" t="s">
        <v>9</v>
      </c>
      <c r="L62" s="65"/>
      <c r="M62" s="20" t="s">
        <v>55</v>
      </c>
      <c r="N62" s="63"/>
      <c r="O62" s="63"/>
      <c r="P62" s="63"/>
      <c r="Q62" s="63"/>
      <c r="R62" s="63"/>
      <c r="S62" s="63"/>
      <c r="T62" s="63"/>
      <c r="U62" s="57" t="s">
        <v>56</v>
      </c>
      <c r="V62" s="35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>
      <c r="A63" s="6"/>
      <c r="B63" s="12"/>
      <c r="C63" s="28" t="s">
        <v>57</v>
      </c>
      <c r="D63" s="28"/>
      <c r="E63" s="28"/>
      <c r="F63" s="28"/>
      <c r="G63" s="13"/>
      <c r="H63" s="28"/>
      <c r="I63" s="28"/>
      <c r="J63" s="28"/>
      <c r="K63" s="28"/>
      <c r="L63" s="13"/>
      <c r="M63" s="28" t="s">
        <v>58</v>
      </c>
      <c r="N63" s="28"/>
      <c r="O63" s="28"/>
      <c r="P63" s="28"/>
      <c r="Q63" s="28"/>
      <c r="R63" s="28"/>
      <c r="S63" s="28"/>
      <c r="T63" s="28"/>
      <c r="U63" s="28"/>
      <c r="V63" s="18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>
      <c r="A64" s="6"/>
      <c r="B64" s="19"/>
      <c r="C64" s="67" t="s">
        <v>59</v>
      </c>
      <c r="D64" s="68"/>
      <c r="E64" s="68"/>
      <c r="F64" s="68"/>
      <c r="G64" s="68"/>
      <c r="H64" s="68"/>
      <c r="I64" s="68"/>
      <c r="J64" s="68"/>
      <c r="K64" s="69"/>
      <c r="L64" s="65"/>
      <c r="M64" s="67" t="s">
        <v>60</v>
      </c>
      <c r="N64" s="68"/>
      <c r="O64" s="68"/>
      <c r="P64" s="68"/>
      <c r="Q64" s="68"/>
      <c r="R64" s="68"/>
      <c r="S64" s="68"/>
      <c r="T64" s="68"/>
      <c r="U64" s="69"/>
      <c r="V64" s="35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>
      <c r="A65" s="6"/>
      <c r="B65" s="19"/>
      <c r="C65" s="70"/>
      <c r="D65" s="13"/>
      <c r="E65" s="13"/>
      <c r="F65" s="13"/>
      <c r="G65" s="13"/>
      <c r="H65" s="13"/>
      <c r="I65" s="13"/>
      <c r="J65" s="13"/>
      <c r="K65" s="71"/>
      <c r="L65" s="65"/>
      <c r="M65" s="70"/>
      <c r="N65" s="13"/>
      <c r="O65" s="13"/>
      <c r="P65" s="13"/>
      <c r="Q65" s="13"/>
      <c r="R65" s="13"/>
      <c r="S65" s="13"/>
      <c r="T65" s="13"/>
      <c r="U65" s="71"/>
      <c r="V65" s="35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>
      <c r="A66" s="6"/>
      <c r="B66" s="19"/>
      <c r="C66" s="72"/>
      <c r="D66" s="73"/>
      <c r="E66" s="73"/>
      <c r="F66" s="73"/>
      <c r="G66" s="73"/>
      <c r="H66" s="73"/>
      <c r="I66" s="73"/>
      <c r="J66" s="73"/>
      <c r="K66" s="74"/>
      <c r="L66" s="65"/>
      <c r="M66" s="72"/>
      <c r="N66" s="73"/>
      <c r="O66" s="73"/>
      <c r="P66" s="73"/>
      <c r="Q66" s="73"/>
      <c r="R66" s="73"/>
      <c r="S66" s="73"/>
      <c r="T66" s="73"/>
      <c r="U66" s="74"/>
      <c r="V66" s="35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>
      <c r="A67" s="6"/>
      <c r="B67" s="12"/>
      <c r="C67" s="28" t="s">
        <v>61</v>
      </c>
      <c r="D67" s="28"/>
      <c r="E67" s="28"/>
      <c r="F67" s="75" t="s">
        <v>62</v>
      </c>
      <c r="G67" s="28"/>
      <c r="H67" s="28"/>
      <c r="I67" s="28"/>
      <c r="J67" s="28"/>
      <c r="K67" s="28"/>
      <c r="L67" s="13"/>
      <c r="M67" s="28"/>
      <c r="N67" s="28"/>
      <c r="O67" s="28"/>
      <c r="P67" s="28"/>
      <c r="Q67" s="28"/>
      <c r="R67" s="28"/>
      <c r="S67" s="28"/>
      <c r="T67" s="28"/>
      <c r="U67" s="28"/>
      <c r="V67" s="18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>
      <c r="A68" s="6"/>
      <c r="B68" s="19"/>
      <c r="C68" s="20" t="s">
        <v>63</v>
      </c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4"/>
      <c r="V68" s="35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>
      <c r="A69" s="6"/>
      <c r="B69" s="76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8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>
      <c r="A70" s="6"/>
      <c r="B70" s="79"/>
      <c r="C70" s="80" t="s">
        <v>64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78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>
      <c r="A71" s="6"/>
      <c r="B71" s="76"/>
      <c r="C71" s="13" t="s">
        <v>65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78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>
      <c r="A72" s="6"/>
      <c r="B72" s="76"/>
      <c r="C72" s="20" t="s">
        <v>66</v>
      </c>
      <c r="D72" s="21"/>
      <c r="E72" s="21"/>
      <c r="F72" s="21"/>
      <c r="G72" s="21"/>
      <c r="H72" s="21"/>
      <c r="I72" s="22"/>
      <c r="J72" s="21"/>
      <c r="K72" s="5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78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>
      <c r="A73" s="6"/>
      <c r="B73" s="76"/>
      <c r="C73" s="13" t="s">
        <v>67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78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>
      <c r="A74" s="6"/>
      <c r="B74" s="81"/>
      <c r="C74" s="20" t="s">
        <v>68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4"/>
      <c r="V74" s="82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>
      <c r="A75" s="6"/>
      <c r="B75" s="76"/>
      <c r="C75" s="28" t="s">
        <v>69</v>
      </c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78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>
      <c r="A76" s="6"/>
      <c r="B76" s="81"/>
      <c r="C76" s="67" t="s">
        <v>70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9"/>
      <c r="V76" s="82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>
      <c r="A77" s="6"/>
      <c r="B77" s="81"/>
      <c r="C77" s="70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71"/>
      <c r="V77" s="82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>
      <c r="A78" s="6"/>
      <c r="B78" s="81"/>
      <c r="C78" s="72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4"/>
      <c r="V78" s="82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>
      <c r="A79" s="6"/>
      <c r="B79" s="76"/>
      <c r="C79" s="28" t="s">
        <v>71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78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>
      <c r="A80" s="6"/>
      <c r="B80" s="76"/>
      <c r="C80" s="67" t="s">
        <v>72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9"/>
      <c r="V80" s="78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>
      <c r="A81" s="6"/>
      <c r="B81" s="76"/>
      <c r="C81" s="70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71"/>
      <c r="V81" s="78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>
      <c r="A82" s="6"/>
      <c r="B82" s="76"/>
      <c r="C82" s="72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4"/>
      <c r="V82" s="78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>
      <c r="A83" s="6"/>
      <c r="B83" s="76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78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>
      <c r="A84" s="6"/>
      <c r="B84" s="79" t="s">
        <v>73</v>
      </c>
      <c r="C84" s="83"/>
      <c r="D84" s="13" t="s">
        <v>74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42" t="s">
        <v>21</v>
      </c>
      <c r="T84" s="13"/>
      <c r="U84" s="13"/>
      <c r="V84" s="78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>
      <c r="A85" s="6"/>
      <c r="B85" s="81"/>
      <c r="C85" s="13"/>
      <c r="D85" s="13"/>
      <c r="E85" s="84" t="s">
        <v>75</v>
      </c>
      <c r="F85" s="32"/>
      <c r="G85" s="32"/>
      <c r="H85" s="32"/>
      <c r="I85" s="32"/>
      <c r="J85" s="32"/>
      <c r="K85" s="32"/>
      <c r="L85" s="32"/>
      <c r="M85" s="33"/>
      <c r="N85" s="84" t="s">
        <v>76</v>
      </c>
      <c r="O85" s="32"/>
      <c r="P85" s="33"/>
      <c r="Q85" s="84" t="s">
        <v>77</v>
      </c>
      <c r="R85" s="33"/>
      <c r="S85" s="85" t="s">
        <v>78</v>
      </c>
      <c r="T85" s="59"/>
      <c r="U85" s="13"/>
      <c r="V85" s="78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>
      <c r="A86" s="6"/>
      <c r="B86" s="76"/>
      <c r="C86" s="13"/>
      <c r="D86" s="58"/>
      <c r="E86" s="43" t="s">
        <v>79</v>
      </c>
      <c r="F86" s="32"/>
      <c r="G86" s="32"/>
      <c r="H86" s="32"/>
      <c r="I86" s="32"/>
      <c r="J86" s="32"/>
      <c r="K86" s="32"/>
      <c r="L86" s="32"/>
      <c r="M86" s="33"/>
      <c r="N86" s="86"/>
      <c r="O86" s="32"/>
      <c r="P86" s="33"/>
      <c r="Q86" s="86"/>
      <c r="R86" s="33"/>
      <c r="S86" s="46"/>
      <c r="T86" s="59"/>
      <c r="U86" s="13"/>
      <c r="V86" s="78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>
      <c r="A87" s="6"/>
      <c r="B87" s="76"/>
      <c r="C87" s="13"/>
      <c r="D87" s="58"/>
      <c r="E87" s="87" t="s">
        <v>9</v>
      </c>
      <c r="F87" s="32"/>
      <c r="G87" s="32"/>
      <c r="H87" s="32"/>
      <c r="I87" s="32"/>
      <c r="J87" s="32"/>
      <c r="K87" s="32"/>
      <c r="L87" s="32"/>
      <c r="M87" s="33"/>
      <c r="N87" s="86"/>
      <c r="O87" s="32"/>
      <c r="P87" s="33"/>
      <c r="Q87" s="86"/>
      <c r="R87" s="33"/>
      <c r="S87" s="46"/>
      <c r="T87" s="59"/>
      <c r="U87" s="13"/>
      <c r="V87" s="78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>
      <c r="A88" s="6"/>
      <c r="B88" s="76"/>
      <c r="C88" s="13"/>
      <c r="D88" s="13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13"/>
      <c r="U88" s="13"/>
      <c r="V88" s="78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>
      <c r="A89" s="6"/>
      <c r="B89" s="79" t="s">
        <v>80</v>
      </c>
      <c r="C89" s="83"/>
      <c r="D89" s="13" t="s">
        <v>81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78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>
      <c r="A90" s="6"/>
      <c r="B90" s="76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42" t="s">
        <v>82</v>
      </c>
      <c r="U90" s="42" t="s">
        <v>21</v>
      </c>
      <c r="V90" s="78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>
      <c r="A91" s="6"/>
      <c r="B91" s="81"/>
      <c r="C91" s="84" t="s">
        <v>83</v>
      </c>
      <c r="D91" s="32"/>
      <c r="E91" s="32"/>
      <c r="F91" s="32"/>
      <c r="G91" s="32"/>
      <c r="H91" s="84" t="s">
        <v>84</v>
      </c>
      <c r="I91" s="32"/>
      <c r="J91" s="32"/>
      <c r="K91" s="32"/>
      <c r="L91" s="32"/>
      <c r="M91" s="33"/>
      <c r="N91" s="84" t="s">
        <v>85</v>
      </c>
      <c r="O91" s="32"/>
      <c r="P91" s="33"/>
      <c r="Q91" s="84" t="s">
        <v>86</v>
      </c>
      <c r="R91" s="33"/>
      <c r="S91" s="84" t="s">
        <v>87</v>
      </c>
      <c r="T91" s="33"/>
      <c r="U91" s="85" t="s">
        <v>88</v>
      </c>
      <c r="V91" s="84" t="s">
        <v>89</v>
      </c>
      <c r="W91" s="33"/>
      <c r="X91" s="85" t="s">
        <v>78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>
      <c r="A92" s="6"/>
      <c r="B92" s="81"/>
      <c r="C92" s="43" t="s">
        <v>90</v>
      </c>
      <c r="D92" s="32"/>
      <c r="E92" s="32"/>
      <c r="F92" s="32"/>
      <c r="G92" s="32"/>
      <c r="H92" s="43" t="s">
        <v>91</v>
      </c>
      <c r="I92" s="33"/>
      <c r="J92" s="88" t="s">
        <v>92</v>
      </c>
      <c r="K92" s="32"/>
      <c r="L92" s="32"/>
      <c r="M92" s="33"/>
      <c r="N92" s="43" t="s">
        <v>93</v>
      </c>
      <c r="O92" s="32"/>
      <c r="P92" s="33"/>
      <c r="Q92" s="89" t="s">
        <v>94</v>
      </c>
      <c r="R92" s="33"/>
      <c r="S92" s="43" t="s">
        <v>95</v>
      </c>
      <c r="T92" s="33"/>
      <c r="U92" s="44" t="s">
        <v>96</v>
      </c>
      <c r="V92" s="89" t="s">
        <v>97</v>
      </c>
      <c r="W92" s="33"/>
      <c r="X92" s="44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>
      <c r="A93" s="6"/>
      <c r="B93" s="81"/>
      <c r="C93" s="90" t="s">
        <v>9</v>
      </c>
      <c r="D93" s="32"/>
      <c r="E93" s="32"/>
      <c r="F93" s="32"/>
      <c r="G93" s="32"/>
      <c r="H93" s="90" t="s">
        <v>9</v>
      </c>
      <c r="I93" s="33"/>
      <c r="J93" s="90" t="s">
        <v>56</v>
      </c>
      <c r="K93" s="32"/>
      <c r="L93" s="32"/>
      <c r="M93" s="33"/>
      <c r="N93" s="90" t="s">
        <v>98</v>
      </c>
      <c r="O93" s="32"/>
      <c r="P93" s="33"/>
      <c r="Q93" s="89" t="s">
        <v>99</v>
      </c>
      <c r="R93" s="33"/>
      <c r="S93" s="43"/>
      <c r="T93" s="33"/>
      <c r="U93" s="44"/>
      <c r="V93" s="89" t="s">
        <v>100</v>
      </c>
      <c r="W93" s="33"/>
      <c r="X93" s="44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>
      <c r="A94" s="6"/>
      <c r="B94" s="76"/>
      <c r="C94" s="13"/>
      <c r="D94" s="13"/>
      <c r="E94" s="13"/>
      <c r="F94" s="13"/>
      <c r="G94" s="13"/>
      <c r="H94" s="28"/>
      <c r="I94" s="28"/>
      <c r="J94" s="28"/>
      <c r="K94" s="13"/>
      <c r="L94" s="13"/>
      <c r="M94" s="13"/>
      <c r="N94" s="28"/>
      <c r="O94" s="28"/>
      <c r="P94" s="28"/>
      <c r="Q94" s="28"/>
      <c r="R94" s="91" t="s">
        <v>101</v>
      </c>
      <c r="S94" s="92" t="s">
        <v>100</v>
      </c>
      <c r="T94" s="93"/>
      <c r="U94" s="13"/>
      <c r="V94" s="78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>
      <c r="A95" s="6"/>
      <c r="B95" s="79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78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>
      <c r="A96" s="6"/>
      <c r="B96" s="79"/>
      <c r="C96" s="13"/>
      <c r="D96" s="13"/>
      <c r="E96" s="13"/>
      <c r="F96" s="13"/>
      <c r="G96" s="13"/>
      <c r="H96" s="13"/>
      <c r="I96" s="13"/>
      <c r="J96" s="13"/>
      <c r="K96" s="94" t="s">
        <v>102</v>
      </c>
      <c r="L96" s="95" t="s">
        <v>103</v>
      </c>
      <c r="M96" s="62"/>
      <c r="N96" s="95" t="s">
        <v>104</v>
      </c>
      <c r="O96" s="62"/>
      <c r="P96" s="13"/>
      <c r="Q96" s="13"/>
      <c r="R96" s="96" t="s">
        <v>105</v>
      </c>
      <c r="S96" s="97" t="s">
        <v>106</v>
      </c>
      <c r="T96" s="62"/>
      <c r="U96" s="98" t="s">
        <v>107</v>
      </c>
      <c r="V96" s="78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>
      <c r="A97" s="6"/>
      <c r="B97" s="99"/>
      <c r="C97" s="13"/>
      <c r="D97" s="13"/>
      <c r="E97" s="13"/>
      <c r="F97" s="13"/>
      <c r="G97" s="13"/>
      <c r="H97" s="13"/>
      <c r="I97" s="13"/>
      <c r="J97" s="13"/>
      <c r="K97" s="100" t="s">
        <v>108</v>
      </c>
      <c r="L97" s="101" t="s">
        <v>99</v>
      </c>
      <c r="M97" s="62"/>
      <c r="N97" s="102" t="s">
        <v>99</v>
      </c>
      <c r="O97" s="33"/>
      <c r="P97" s="59"/>
      <c r="Q97" s="13"/>
      <c r="R97" s="91" t="s">
        <v>109</v>
      </c>
      <c r="S97" s="97" t="s">
        <v>110</v>
      </c>
      <c r="T97" s="62"/>
      <c r="U97" s="98" t="s">
        <v>107</v>
      </c>
      <c r="V97" s="78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>
      <c r="A98" s="6"/>
      <c r="B98" s="79"/>
      <c r="C98" s="13"/>
      <c r="D98" s="13"/>
      <c r="E98" s="13"/>
      <c r="F98" s="13"/>
      <c r="G98" s="13"/>
      <c r="H98" s="13"/>
      <c r="I98" s="13"/>
      <c r="J98" s="13"/>
      <c r="K98" s="13" t="s">
        <v>111</v>
      </c>
      <c r="L98" s="13"/>
      <c r="M98" s="13"/>
      <c r="N98" s="28"/>
      <c r="O98" s="28" t="s">
        <v>112</v>
      </c>
      <c r="P98" s="13"/>
      <c r="Q98" s="13"/>
      <c r="R98" s="96" t="s">
        <v>113</v>
      </c>
      <c r="S98" s="103" t="s">
        <v>97</v>
      </c>
      <c r="T98" s="62"/>
      <c r="U98" s="104" t="s">
        <v>107</v>
      </c>
      <c r="V98" s="78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>
      <c r="A99" s="6"/>
      <c r="B99" s="79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78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>
      <c r="A100" s="6"/>
      <c r="B100" s="79" t="s">
        <v>114</v>
      </c>
      <c r="C100" s="83"/>
      <c r="D100" s="13" t="s">
        <v>115</v>
      </c>
      <c r="E100" s="13"/>
      <c r="F100" s="105" t="s">
        <v>116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78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>
      <c r="A101" s="6"/>
      <c r="B101" s="81"/>
      <c r="C101" s="85" t="s">
        <v>117</v>
      </c>
      <c r="D101" s="84" t="s">
        <v>118</v>
      </c>
      <c r="E101" s="32"/>
      <c r="F101" s="32"/>
      <c r="G101" s="32"/>
      <c r="H101" s="32"/>
      <c r="I101" s="32"/>
      <c r="J101" s="32"/>
      <c r="K101" s="33"/>
      <c r="L101" s="106" t="s">
        <v>119</v>
      </c>
      <c r="M101" s="32"/>
      <c r="N101" s="32"/>
      <c r="O101" s="32"/>
      <c r="P101" s="32"/>
      <c r="Q101" s="32"/>
      <c r="R101" s="32"/>
      <c r="S101" s="32"/>
      <c r="T101" s="33"/>
      <c r="U101" s="85" t="s">
        <v>78</v>
      </c>
      <c r="V101" s="82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>
      <c r="A102" s="6"/>
      <c r="B102" s="81"/>
      <c r="C102" s="44"/>
      <c r="D102" s="43" t="s">
        <v>120</v>
      </c>
      <c r="E102" s="32"/>
      <c r="F102" s="32"/>
      <c r="G102" s="32"/>
      <c r="H102" s="32"/>
      <c r="I102" s="32"/>
      <c r="J102" s="32"/>
      <c r="K102" s="33"/>
      <c r="L102" s="107" t="s">
        <v>121</v>
      </c>
      <c r="M102" s="32"/>
      <c r="N102" s="32"/>
      <c r="O102" s="32"/>
      <c r="P102" s="32"/>
      <c r="Q102" s="32"/>
      <c r="R102" s="32"/>
      <c r="S102" s="32"/>
      <c r="T102" s="33"/>
      <c r="U102" s="44"/>
      <c r="V102" s="82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>
      <c r="A103" s="6"/>
      <c r="B103" s="48"/>
      <c r="C103" s="73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3"/>
      <c r="V103" s="50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>
      <c r="A104" s="6"/>
      <c r="B104" s="108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>
      <c r="A105" s="6"/>
      <c r="B105" s="7" t="s">
        <v>7</v>
      </c>
      <c r="C105" s="6"/>
      <c r="D105" s="8" t="s">
        <v>122</v>
      </c>
      <c r="E105" s="6"/>
      <c r="F105" s="6"/>
      <c r="G105" s="6"/>
      <c r="H105" s="8" t="s">
        <v>3</v>
      </c>
      <c r="I105" s="6"/>
      <c r="J105" s="6"/>
      <c r="K105" s="6"/>
      <c r="L105" s="6"/>
      <c r="M105" s="109" t="s">
        <v>123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>
      <c r="A106" s="6"/>
      <c r="B106" s="7"/>
      <c r="C106" s="6"/>
      <c r="D106" s="8" t="s">
        <v>124</v>
      </c>
      <c r="E106" s="6"/>
      <c r="F106" s="6"/>
      <c r="G106" s="53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>
      <c r="A107" s="6"/>
      <c r="B107" s="7" t="s">
        <v>27</v>
      </c>
      <c r="C107" s="6"/>
      <c r="D107" s="8"/>
      <c r="E107" s="6"/>
      <c r="F107" s="6"/>
      <c r="G107" s="53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ht="23.25" customHeight="1">
      <c r="A108" s="6"/>
      <c r="B108" s="8"/>
      <c r="C108" s="8">
        <v>1.0</v>
      </c>
      <c r="D108" s="110" t="s">
        <v>125</v>
      </c>
      <c r="E108" s="8" t="s">
        <v>38</v>
      </c>
      <c r="F108" s="6"/>
      <c r="G108" s="53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>
      <c r="A109" s="6"/>
      <c r="B109" s="8"/>
      <c r="C109" s="8">
        <v>2.0</v>
      </c>
      <c r="D109" s="110" t="s">
        <v>126</v>
      </c>
      <c r="E109" s="8" t="s">
        <v>127</v>
      </c>
      <c r="F109" s="6"/>
      <c r="G109" s="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8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U109" s="6"/>
    </row>
    <row r="110">
      <c r="A110" s="6"/>
      <c r="B110" s="8"/>
      <c r="C110" s="8">
        <v>3.0</v>
      </c>
      <c r="D110" s="110" t="s">
        <v>128</v>
      </c>
      <c r="E110" s="8" t="s">
        <v>129</v>
      </c>
      <c r="F110" s="6"/>
      <c r="G110" s="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8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U110" s="6"/>
    </row>
    <row r="111">
      <c r="A111" s="6"/>
      <c r="B111" s="8"/>
      <c r="C111" s="8">
        <v>4.0</v>
      </c>
      <c r="D111" s="110" t="s">
        <v>130</v>
      </c>
      <c r="E111" s="8" t="s">
        <v>131</v>
      </c>
      <c r="F111" s="6"/>
      <c r="G111" s="8"/>
      <c r="H111" s="6"/>
      <c r="I111" s="6"/>
      <c r="J111" s="6"/>
      <c r="K111" s="6"/>
      <c r="L111" s="6"/>
      <c r="M111" s="6"/>
      <c r="N111" s="6"/>
      <c r="O111" s="6"/>
      <c r="P111" s="76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42" t="s">
        <v>82</v>
      </c>
      <c r="AI111" s="42" t="s">
        <v>21</v>
      </c>
      <c r="AJ111" s="78"/>
      <c r="AK111" s="6"/>
      <c r="AL111" s="6"/>
      <c r="AM111" s="6"/>
      <c r="AU111" s="6"/>
    </row>
    <row r="112">
      <c r="A112" s="6"/>
      <c r="B112" s="8"/>
      <c r="C112" s="8">
        <v>5.0</v>
      </c>
      <c r="D112" s="110" t="s">
        <v>132</v>
      </c>
      <c r="E112" s="8" t="s">
        <v>133</v>
      </c>
      <c r="F112" s="6"/>
      <c r="G112" s="8"/>
      <c r="H112" s="6"/>
      <c r="I112" s="6"/>
      <c r="J112" s="6"/>
      <c r="K112" s="6"/>
      <c r="L112" s="6"/>
      <c r="M112" s="6"/>
      <c r="N112" s="6"/>
      <c r="O112" s="6"/>
      <c r="P112" s="81"/>
      <c r="Q112" s="84" t="s">
        <v>83</v>
      </c>
      <c r="R112" s="32"/>
      <c r="S112" s="32"/>
      <c r="T112" s="32"/>
      <c r="U112" s="32"/>
      <c r="V112" s="84" t="s">
        <v>84</v>
      </c>
      <c r="W112" s="32"/>
      <c r="X112" s="32"/>
      <c r="Y112" s="32"/>
      <c r="Z112" s="32"/>
      <c r="AA112" s="33"/>
      <c r="AB112" s="84" t="s">
        <v>85</v>
      </c>
      <c r="AC112" s="32"/>
      <c r="AD112" s="33"/>
      <c r="AE112" s="84" t="s">
        <v>86</v>
      </c>
      <c r="AF112" s="33"/>
      <c r="AG112" s="84" t="s">
        <v>87</v>
      </c>
      <c r="AH112" s="33"/>
      <c r="AI112" s="85" t="s">
        <v>88</v>
      </c>
      <c r="AJ112" s="84" t="s">
        <v>89</v>
      </c>
      <c r="AK112" s="33"/>
      <c r="AL112" s="85" t="s">
        <v>78</v>
      </c>
      <c r="AM112" s="6"/>
      <c r="AU112" s="6"/>
    </row>
    <row r="113">
      <c r="A113" s="6"/>
      <c r="B113" s="8"/>
      <c r="C113" s="8">
        <v>6.0</v>
      </c>
      <c r="D113" s="110" t="s">
        <v>134</v>
      </c>
      <c r="E113" s="8" t="s">
        <v>135</v>
      </c>
      <c r="F113" s="6"/>
      <c r="G113" s="8"/>
      <c r="H113" s="6"/>
      <c r="I113" s="6"/>
      <c r="J113" s="6"/>
      <c r="K113" s="6"/>
      <c r="L113" s="6"/>
      <c r="M113" s="6"/>
      <c r="N113" s="6"/>
      <c r="O113" s="6"/>
      <c r="P113" s="81"/>
      <c r="Q113" s="43" t="s">
        <v>136</v>
      </c>
      <c r="R113" s="32"/>
      <c r="S113" s="32"/>
      <c r="T113" s="32"/>
      <c r="U113" s="32"/>
      <c r="V113" s="43"/>
      <c r="W113" s="33"/>
      <c r="X113" s="88" t="s">
        <v>137</v>
      </c>
      <c r="Y113" s="32"/>
      <c r="Z113" s="32"/>
      <c r="AA113" s="33"/>
      <c r="AB113" s="43" t="s">
        <v>138</v>
      </c>
      <c r="AC113" s="32"/>
      <c r="AD113" s="33"/>
      <c r="AE113" s="89">
        <v>50000.0</v>
      </c>
      <c r="AF113" s="33"/>
      <c r="AG113" s="43">
        <v>45000.0</v>
      </c>
      <c r="AH113" s="33"/>
      <c r="AI113" s="44">
        <v>1.0</v>
      </c>
      <c r="AJ113" s="89">
        <v>45000.0</v>
      </c>
      <c r="AK113" s="33"/>
      <c r="AL113" s="44"/>
      <c r="AM113" s="6"/>
      <c r="AU113" s="6"/>
    </row>
    <row r="114">
      <c r="A114" s="6"/>
      <c r="B114" s="7" t="s">
        <v>22</v>
      </c>
      <c r="C114" s="6"/>
      <c r="D114" s="8" t="s">
        <v>124</v>
      </c>
      <c r="E114" s="6"/>
      <c r="F114" s="6"/>
      <c r="G114" s="8"/>
      <c r="H114" s="6"/>
      <c r="I114" s="6"/>
      <c r="J114" s="6"/>
      <c r="K114" s="6"/>
      <c r="L114" s="6"/>
      <c r="M114" s="6"/>
      <c r="N114" s="6"/>
      <c r="O114" s="6"/>
      <c r="P114" s="81"/>
      <c r="Q114" s="90"/>
      <c r="R114" s="32"/>
      <c r="S114" s="32"/>
      <c r="T114" s="32"/>
      <c r="U114" s="32"/>
      <c r="V114" s="90"/>
      <c r="W114" s="33"/>
      <c r="X114" s="90"/>
      <c r="Y114" s="32"/>
      <c r="Z114" s="32"/>
      <c r="AA114" s="33"/>
      <c r="AB114" s="90"/>
      <c r="AC114" s="32"/>
      <c r="AD114" s="33"/>
      <c r="AE114" s="89"/>
      <c r="AF114" s="33"/>
      <c r="AG114" s="43"/>
      <c r="AH114" s="33"/>
      <c r="AI114" s="44"/>
      <c r="AJ114" s="89"/>
      <c r="AK114" s="33"/>
      <c r="AL114" s="44"/>
      <c r="AM114" s="6"/>
      <c r="AU114" s="6"/>
    </row>
    <row r="115">
      <c r="A115" s="6"/>
      <c r="B115" s="7" t="s">
        <v>139</v>
      </c>
      <c r="C115" s="6"/>
      <c r="D115" s="6"/>
      <c r="E115" s="6"/>
      <c r="F115" s="6"/>
      <c r="G115" s="8" t="s">
        <v>140</v>
      </c>
      <c r="H115" s="6"/>
      <c r="I115" s="6"/>
      <c r="J115" s="6"/>
      <c r="K115" s="6"/>
      <c r="L115" s="6"/>
      <c r="M115" s="6"/>
      <c r="N115" s="6"/>
      <c r="O115" s="6"/>
      <c r="P115" s="76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111" t="s">
        <v>101</v>
      </c>
      <c r="AG115" s="92" t="s">
        <v>100</v>
      </c>
      <c r="AH115" s="93"/>
      <c r="AI115" s="13"/>
      <c r="AJ115" s="78"/>
      <c r="AK115" s="6"/>
      <c r="AL115" s="6"/>
      <c r="AM115" s="6"/>
      <c r="AU115" s="6"/>
    </row>
    <row r="116">
      <c r="A116" s="6"/>
      <c r="B116" s="108"/>
      <c r="C116" s="6"/>
      <c r="D116" s="8" t="s">
        <v>141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8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U116" s="6"/>
    </row>
    <row r="117">
      <c r="A117" s="6"/>
      <c r="B117" s="108"/>
      <c r="C117" s="6"/>
      <c r="D117" s="8" t="s">
        <v>142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112" t="s">
        <v>143</v>
      </c>
      <c r="R117" s="6"/>
      <c r="S117" s="8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U117" s="6"/>
    </row>
    <row r="118">
      <c r="A118" s="6"/>
      <c r="B118" s="7" t="s">
        <v>8</v>
      </c>
      <c r="C118" s="6"/>
      <c r="D118" s="8" t="s">
        <v>144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8" t="s">
        <v>145</v>
      </c>
      <c r="R118" s="6"/>
      <c r="S118" s="6"/>
      <c r="T118" s="6"/>
      <c r="U118" s="6"/>
      <c r="V118" s="6"/>
      <c r="W118" s="6"/>
      <c r="X118" s="6"/>
      <c r="Y118" s="6"/>
      <c r="Z118" s="8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>
      <c r="A119" s="6"/>
      <c r="B119" s="7" t="s">
        <v>23</v>
      </c>
      <c r="C119" s="6"/>
      <c r="D119" s="8" t="s">
        <v>146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8" t="s">
        <v>147</v>
      </c>
      <c r="R119" s="6"/>
      <c r="S119" s="6"/>
      <c r="T119" s="6"/>
      <c r="U119" s="6"/>
      <c r="V119" s="6"/>
      <c r="X119" s="6"/>
      <c r="Y119" s="6"/>
      <c r="Z119" s="8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>
      <c r="A120" s="6"/>
      <c r="B120" s="7" t="s">
        <v>148</v>
      </c>
      <c r="C120" s="6"/>
      <c r="D120" s="8" t="s">
        <v>149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8" t="s">
        <v>150</v>
      </c>
      <c r="R120" s="6"/>
      <c r="S120" s="6"/>
      <c r="T120" s="6"/>
      <c r="U120" s="6"/>
      <c r="V120" s="6"/>
      <c r="X120" s="6"/>
      <c r="Y120" s="6"/>
      <c r="Z120" s="8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>
      <c r="A121" s="6"/>
      <c r="B121" s="7" t="s">
        <v>151</v>
      </c>
      <c r="C121" s="6"/>
      <c r="D121" s="8" t="s">
        <v>152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8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8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>
      <c r="A123" s="6"/>
      <c r="B123" s="7" t="s">
        <v>153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8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>
      <c r="A124" s="6"/>
      <c r="B124" s="108"/>
      <c r="C124" s="6"/>
      <c r="D124" s="8" t="s">
        <v>154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76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42" t="s">
        <v>82</v>
      </c>
      <c r="AI124" s="42" t="s">
        <v>21</v>
      </c>
      <c r="AJ124" s="78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>
      <c r="A125" s="6"/>
      <c r="B125" s="108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81"/>
      <c r="Q125" s="84" t="s">
        <v>83</v>
      </c>
      <c r="R125" s="32"/>
      <c r="S125" s="32"/>
      <c r="T125" s="32"/>
      <c r="U125" s="32"/>
      <c r="V125" s="84" t="s">
        <v>84</v>
      </c>
      <c r="W125" s="32"/>
      <c r="X125" s="32"/>
      <c r="Y125" s="32"/>
      <c r="Z125" s="32"/>
      <c r="AA125" s="33"/>
      <c r="AB125" s="84" t="s">
        <v>85</v>
      </c>
      <c r="AC125" s="32"/>
      <c r="AD125" s="33"/>
      <c r="AE125" s="84" t="s">
        <v>86</v>
      </c>
      <c r="AF125" s="33"/>
      <c r="AG125" s="84" t="s">
        <v>87</v>
      </c>
      <c r="AH125" s="33"/>
      <c r="AI125" s="85" t="s">
        <v>88</v>
      </c>
      <c r="AJ125" s="84" t="s">
        <v>89</v>
      </c>
      <c r="AK125" s="33"/>
      <c r="AL125" s="85" t="s">
        <v>78</v>
      </c>
      <c r="AM125" s="6"/>
      <c r="AN125" s="6"/>
      <c r="AO125" s="6"/>
      <c r="AP125" s="6"/>
      <c r="AQ125" s="6"/>
      <c r="AR125" s="6"/>
      <c r="AS125" s="6"/>
      <c r="AT125" s="6"/>
      <c r="AU125" s="6"/>
    </row>
    <row r="126">
      <c r="A126" s="6"/>
      <c r="B126" s="7" t="s">
        <v>73</v>
      </c>
      <c r="C126" s="6"/>
      <c r="D126" s="8" t="s">
        <v>155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81"/>
      <c r="Q126" s="43" t="s">
        <v>136</v>
      </c>
      <c r="R126" s="32"/>
      <c r="S126" s="32"/>
      <c r="T126" s="32"/>
      <c r="U126" s="32"/>
      <c r="V126" s="43" t="s">
        <v>137</v>
      </c>
      <c r="W126" s="33"/>
      <c r="X126" s="88" t="s">
        <v>156</v>
      </c>
      <c r="Y126" s="32"/>
      <c r="Z126" s="32"/>
      <c r="AA126" s="33"/>
      <c r="AB126" s="43" t="s">
        <v>138</v>
      </c>
      <c r="AC126" s="32"/>
      <c r="AD126" s="33"/>
      <c r="AE126" s="89">
        <v>50000.0</v>
      </c>
      <c r="AF126" s="33"/>
      <c r="AG126" s="43">
        <v>45000.0</v>
      </c>
      <c r="AH126" s="33"/>
      <c r="AI126" s="44">
        <v>1.0</v>
      </c>
      <c r="AJ126" s="89">
        <v>45000.0</v>
      </c>
      <c r="AK126" s="33"/>
      <c r="AL126" s="44"/>
      <c r="AM126" s="6"/>
      <c r="AN126" s="6"/>
      <c r="AO126" s="6"/>
      <c r="AP126" s="6"/>
      <c r="AQ126" s="6"/>
      <c r="AR126" s="6"/>
      <c r="AS126" s="6"/>
      <c r="AT126" s="6"/>
      <c r="AU126" s="6"/>
    </row>
    <row r="127">
      <c r="A127" s="6"/>
      <c r="C127" s="6"/>
      <c r="D127" s="8" t="s">
        <v>157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81"/>
      <c r="Q127" s="90"/>
      <c r="R127" s="32"/>
      <c r="S127" s="32"/>
      <c r="T127" s="32"/>
      <c r="U127" s="32"/>
      <c r="V127" s="90"/>
      <c r="W127" s="33"/>
      <c r="X127" s="90"/>
      <c r="Y127" s="32"/>
      <c r="Z127" s="32"/>
      <c r="AA127" s="33"/>
      <c r="AB127" s="90"/>
      <c r="AC127" s="32"/>
      <c r="AD127" s="33"/>
      <c r="AE127" s="89"/>
      <c r="AF127" s="33"/>
      <c r="AG127" s="43"/>
      <c r="AH127" s="33"/>
      <c r="AI127" s="44"/>
      <c r="AJ127" s="89"/>
      <c r="AK127" s="33"/>
      <c r="AL127" s="44"/>
      <c r="AM127" s="6"/>
      <c r="AN127" s="6"/>
      <c r="AO127" s="6"/>
      <c r="AP127" s="6"/>
      <c r="AQ127" s="6"/>
      <c r="AR127" s="6"/>
      <c r="AS127" s="6"/>
      <c r="AT127" s="6"/>
      <c r="AU127" s="6"/>
    </row>
    <row r="128">
      <c r="A128" s="6"/>
      <c r="B128" s="112"/>
      <c r="C128" s="6"/>
      <c r="D128" s="8" t="s">
        <v>158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76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111" t="s">
        <v>101</v>
      </c>
      <c r="AG128" s="92" t="s">
        <v>100</v>
      </c>
      <c r="AH128" s="93"/>
      <c r="AI128" s="13"/>
      <c r="AJ128" s="78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>
      <c r="A129" s="6"/>
      <c r="B129" s="112" t="s">
        <v>80</v>
      </c>
      <c r="C129" s="6"/>
      <c r="D129" s="8" t="s">
        <v>158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8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>
      <c r="A130" s="6"/>
      <c r="B130" s="108"/>
      <c r="C130" s="8" t="s">
        <v>159</v>
      </c>
      <c r="D130" s="6"/>
      <c r="E130" s="8" t="s">
        <v>160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112" t="s">
        <v>143</v>
      </c>
      <c r="R130" s="6"/>
      <c r="S130" s="8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>
      <c r="A131" s="6"/>
      <c r="B131" s="108"/>
      <c r="C131" s="8" t="s">
        <v>161</v>
      </c>
      <c r="D131" s="6"/>
      <c r="E131" s="8" t="s">
        <v>162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8" t="s">
        <v>145</v>
      </c>
      <c r="R131" s="6"/>
      <c r="S131" s="6"/>
      <c r="T131" s="6"/>
      <c r="U131" s="6"/>
      <c r="V131" s="6"/>
      <c r="W131" s="6"/>
      <c r="X131" s="6"/>
      <c r="Y131" s="6"/>
      <c r="Z131" s="8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>
      <c r="A132" s="6"/>
      <c r="B132" s="108"/>
      <c r="C132" s="8" t="s">
        <v>163</v>
      </c>
      <c r="D132" s="6"/>
      <c r="E132" s="8" t="s">
        <v>164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8" t="s">
        <v>147</v>
      </c>
      <c r="R132" s="6"/>
      <c r="S132" s="6"/>
      <c r="T132" s="6"/>
      <c r="U132" s="6"/>
      <c r="V132" s="6"/>
      <c r="X132" s="6"/>
      <c r="Y132" s="6"/>
      <c r="Z132" s="8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>
      <c r="A133" s="6"/>
      <c r="B133" s="8"/>
      <c r="C133" s="8" t="s">
        <v>84</v>
      </c>
      <c r="D133" s="6"/>
      <c r="E133" s="8" t="s">
        <v>165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8" t="s">
        <v>150</v>
      </c>
      <c r="R133" s="6"/>
      <c r="S133" s="6"/>
      <c r="T133" s="6"/>
      <c r="U133" s="6"/>
      <c r="V133" s="6"/>
      <c r="X133" s="6"/>
      <c r="Y133" s="6"/>
      <c r="Z133" s="8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>
      <c r="A134" s="6"/>
      <c r="B134" s="8"/>
      <c r="C134" s="6"/>
      <c r="D134" s="6"/>
      <c r="E134" s="113" t="s">
        <v>166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>
      <c r="A135" s="6"/>
      <c r="B135" s="8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>
      <c r="A136" s="6"/>
      <c r="B136" s="7" t="s">
        <v>114</v>
      </c>
      <c r="C136" s="6"/>
      <c r="D136" s="8" t="s">
        <v>158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>
      <c r="A137" s="6"/>
      <c r="B137" s="53"/>
      <c r="C137" s="6"/>
      <c r="D137" s="7" t="s">
        <v>167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>
      <c r="A138" s="6"/>
      <c r="B138" s="53"/>
      <c r="C138" s="8">
        <v>1.0</v>
      </c>
      <c r="D138" s="114" t="s">
        <v>168</v>
      </c>
      <c r="E138" s="6"/>
      <c r="F138" s="6"/>
      <c r="G138" s="6"/>
      <c r="H138" s="6"/>
      <c r="I138" s="6"/>
      <c r="J138" s="6"/>
      <c r="K138" s="6"/>
      <c r="L138" s="6"/>
      <c r="M138" s="6"/>
      <c r="N138" s="8" t="s">
        <v>169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>
      <c r="A139" s="6"/>
      <c r="B139" s="53"/>
      <c r="C139" s="8">
        <v>2.0</v>
      </c>
      <c r="D139" s="114" t="s">
        <v>170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>
      <c r="A140" s="6"/>
      <c r="B140" s="53"/>
      <c r="C140" s="8">
        <v>3.0</v>
      </c>
      <c r="D140" s="8" t="s">
        <v>171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>
      <c r="A141" s="6"/>
      <c r="B141" s="53"/>
      <c r="C141" s="8">
        <v>4.0</v>
      </c>
      <c r="D141" s="8" t="s">
        <v>172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>
      <c r="A142" s="6"/>
      <c r="B142" s="53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>
      <c r="A143" s="6"/>
      <c r="B143" s="7" t="s">
        <v>173</v>
      </c>
      <c r="C143" s="6"/>
      <c r="D143" s="8" t="s">
        <v>174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>
      <c r="A144" s="6"/>
      <c r="B144" s="8"/>
      <c r="C144" s="6"/>
      <c r="D144" s="8" t="s">
        <v>175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>
      <c r="A145" s="6"/>
      <c r="B145" s="8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>
      <c r="A146" s="6"/>
      <c r="B146" s="6"/>
      <c r="C146" s="6"/>
      <c r="D146" s="9"/>
      <c r="E146" s="10"/>
      <c r="F146" s="10"/>
      <c r="G146" s="10"/>
      <c r="H146" s="10"/>
      <c r="I146" s="10"/>
      <c r="J146" s="10"/>
      <c r="K146" s="10"/>
      <c r="L146" s="1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115"/>
      <c r="AB146" s="8"/>
      <c r="AC146" s="6"/>
      <c r="AD146" s="6"/>
      <c r="AE146" s="8"/>
      <c r="AF146" s="6"/>
      <c r="AG146" s="8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>
      <c r="A147" s="6"/>
      <c r="B147" s="6"/>
      <c r="C147" s="6"/>
      <c r="D147" s="12"/>
      <c r="E147" s="116" t="s">
        <v>176</v>
      </c>
      <c r="F147" s="15"/>
      <c r="G147" s="15"/>
      <c r="H147" s="15"/>
      <c r="I147" s="15"/>
      <c r="J147" s="15"/>
      <c r="K147" s="15"/>
      <c r="L147" s="18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>
      <c r="A148" s="6"/>
      <c r="B148" s="6"/>
      <c r="C148" s="6"/>
      <c r="D148" s="12"/>
      <c r="E148" s="39" t="s">
        <v>177</v>
      </c>
      <c r="F148" s="15"/>
      <c r="G148" s="15"/>
      <c r="H148" s="15"/>
      <c r="I148" s="15"/>
      <c r="J148" s="15"/>
      <c r="K148" s="15"/>
      <c r="L148" s="18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Y148" s="7"/>
      <c r="Z148" s="6"/>
      <c r="AA148" s="8"/>
      <c r="AB148" s="6"/>
      <c r="AC148" s="53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>
      <c r="A149" s="6"/>
      <c r="B149" s="6"/>
      <c r="C149" s="6"/>
      <c r="D149" s="12"/>
      <c r="E149" s="15"/>
      <c r="F149" s="117" t="s">
        <v>178</v>
      </c>
      <c r="G149" s="15"/>
      <c r="H149" s="15"/>
      <c r="I149" s="15"/>
      <c r="J149" s="15"/>
      <c r="K149" s="15"/>
      <c r="L149" s="18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8"/>
      <c r="Y149" s="8"/>
      <c r="Z149" s="8"/>
      <c r="AA149" s="8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>
      <c r="A150" s="6"/>
      <c r="B150" s="6"/>
      <c r="C150" s="6"/>
      <c r="D150" s="12"/>
      <c r="E150" s="15"/>
      <c r="F150" s="39" t="s">
        <v>179</v>
      </c>
      <c r="G150" s="15"/>
      <c r="H150" s="15"/>
      <c r="I150" s="15"/>
      <c r="J150" s="15"/>
      <c r="K150" s="15"/>
      <c r="L150" s="18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8"/>
      <c r="Y150" s="8"/>
      <c r="Z150" s="6"/>
      <c r="AA150" s="8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>
      <c r="A151" s="6"/>
      <c r="B151" s="6"/>
      <c r="C151" s="6"/>
      <c r="D151" s="12"/>
      <c r="E151" s="15"/>
      <c r="F151" s="15"/>
      <c r="G151" s="13" t="s">
        <v>180</v>
      </c>
      <c r="H151" s="14"/>
      <c r="I151" s="15"/>
      <c r="J151" s="15"/>
      <c r="K151" s="15"/>
      <c r="L151" s="18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>
      <c r="A152" s="6"/>
      <c r="B152" s="6"/>
      <c r="C152" s="6"/>
      <c r="D152" s="12"/>
      <c r="E152" s="15"/>
      <c r="F152" s="34"/>
      <c r="G152" s="118" t="s">
        <v>181</v>
      </c>
      <c r="H152" s="33"/>
      <c r="I152" s="24"/>
      <c r="J152" s="15"/>
      <c r="K152" s="15"/>
      <c r="L152" s="18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7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>
      <c r="A153" s="6"/>
      <c r="B153" s="6"/>
      <c r="C153" s="6"/>
      <c r="D153" s="76"/>
      <c r="E153" s="14"/>
      <c r="F153" s="119"/>
      <c r="G153" s="119"/>
      <c r="H153" s="119"/>
      <c r="I153" s="14"/>
      <c r="J153" s="14"/>
      <c r="K153" s="14"/>
      <c r="L153" s="78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8"/>
      <c r="Y153" s="8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>
      <c r="A154" s="6"/>
      <c r="B154" s="6"/>
      <c r="C154" s="6"/>
      <c r="D154" s="76"/>
      <c r="E154" s="14"/>
      <c r="F154" s="119"/>
      <c r="G154" s="119"/>
      <c r="H154" s="119"/>
      <c r="I154" s="119"/>
      <c r="J154" s="85" t="s">
        <v>182</v>
      </c>
      <c r="K154" s="120" t="s">
        <v>183</v>
      </c>
      <c r="L154" s="82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8"/>
      <c r="Y154" s="8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>
      <c r="A155" s="6"/>
      <c r="B155" s="6"/>
      <c r="C155" s="6"/>
      <c r="D155" s="48"/>
      <c r="E155" s="49"/>
      <c r="F155" s="49"/>
      <c r="G155" s="49"/>
      <c r="H155" s="49"/>
      <c r="I155" s="49"/>
      <c r="J155" s="121"/>
      <c r="K155" s="121"/>
      <c r="L155" s="50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8"/>
      <c r="Y155" s="8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8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8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>
      <c r="A158" s="6"/>
      <c r="B158" s="7" t="s">
        <v>184</v>
      </c>
      <c r="C158" s="6"/>
      <c r="D158" s="8" t="s">
        <v>185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122"/>
      <c r="Z158" s="8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>
      <c r="A159" s="6"/>
      <c r="B159" s="7" t="s">
        <v>33</v>
      </c>
      <c r="C159" s="8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>
      <c r="A160" s="6"/>
      <c r="B160" s="6"/>
      <c r="C160" s="8" t="s">
        <v>186</v>
      </c>
      <c r="D160" s="6"/>
      <c r="E160" s="8" t="s">
        <v>187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>
      <c r="A161" s="6"/>
      <c r="B161" s="6"/>
      <c r="C161" s="8" t="s">
        <v>188</v>
      </c>
      <c r="D161" s="6"/>
      <c r="E161" s="8" t="s">
        <v>187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8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>
      <c r="A162" s="6"/>
      <c r="B162" s="6"/>
      <c r="C162" s="8" t="s">
        <v>41</v>
      </c>
      <c r="D162" s="6"/>
      <c r="E162" s="8" t="s">
        <v>189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8"/>
      <c r="Z162" s="6"/>
      <c r="AA162" s="8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>
      <c r="A163" s="6"/>
      <c r="B163" s="6"/>
      <c r="C163" s="8" t="s">
        <v>190</v>
      </c>
      <c r="D163" s="6"/>
      <c r="E163" s="8" t="s">
        <v>191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8"/>
      <c r="Z163" s="6"/>
      <c r="AA163" s="8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>
      <c r="A164" s="6"/>
      <c r="B164" s="6"/>
      <c r="C164" s="8" t="s">
        <v>192</v>
      </c>
      <c r="D164" s="6"/>
      <c r="E164" s="8" t="s">
        <v>193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8"/>
      <c r="Z164" s="6"/>
      <c r="AA164" s="8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>
      <c r="A165" s="6"/>
      <c r="B165" s="6"/>
      <c r="C165" s="8" t="s">
        <v>194</v>
      </c>
      <c r="D165" s="6"/>
      <c r="E165" s="8" t="s">
        <v>195</v>
      </c>
      <c r="F165" s="6"/>
      <c r="G165" s="6"/>
      <c r="H165" s="8">
        <v>0.2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>
      <c r="A166" s="6"/>
      <c r="B166" s="6"/>
      <c r="C166" s="8" t="s">
        <v>196</v>
      </c>
      <c r="D166" s="6"/>
      <c r="E166" s="8" t="b">
        <v>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>
      <c r="A167" s="6"/>
      <c r="B167" s="6"/>
      <c r="C167" s="8" t="s">
        <v>197</v>
      </c>
      <c r="D167" s="6"/>
      <c r="E167" s="8" t="s">
        <v>125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>
      <c r="A168" s="6"/>
      <c r="B168" s="5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>
      <c r="A169" s="6"/>
      <c r="B169" s="7" t="s">
        <v>81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>
      <c r="A170" s="6"/>
      <c r="B170" s="6"/>
      <c r="C170" s="8" t="s">
        <v>53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>
      <c r="A171" s="6"/>
      <c r="B171" s="6"/>
      <c r="C171" s="8" t="s">
        <v>198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>
      <c r="A172" s="6"/>
      <c r="B172" s="6"/>
      <c r="C172" s="8" t="s">
        <v>106</v>
      </c>
      <c r="D172" s="6"/>
      <c r="E172" s="8" t="s">
        <v>199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>
      <c r="A173" s="6"/>
      <c r="B173" s="6"/>
      <c r="C173" s="8" t="s">
        <v>111</v>
      </c>
      <c r="D173" s="6"/>
      <c r="E173" s="8">
        <v>0.0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</row>
    <row r="174">
      <c r="A174" s="6"/>
      <c r="B174" s="6"/>
      <c r="C174" s="8" t="s">
        <v>112</v>
      </c>
      <c r="D174" s="6"/>
      <c r="E174" s="8">
        <v>0.0</v>
      </c>
      <c r="F174" s="6"/>
      <c r="G174" s="6"/>
      <c r="H174" s="6"/>
      <c r="I174" s="6"/>
      <c r="J174" s="6"/>
      <c r="K174" s="6"/>
      <c r="L174" s="6"/>
      <c r="M174" s="6"/>
      <c r="N174" s="123"/>
      <c r="O174" s="124"/>
      <c r="P174" s="124"/>
      <c r="Q174" s="124"/>
      <c r="R174" s="125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>
      <c r="A175" s="6"/>
      <c r="B175" s="6"/>
      <c r="C175" s="8" t="s">
        <v>200</v>
      </c>
      <c r="D175" s="6"/>
      <c r="E175" s="8">
        <v>0.0</v>
      </c>
      <c r="F175" s="6"/>
      <c r="G175" s="6"/>
      <c r="H175" s="6"/>
      <c r="I175" s="6"/>
      <c r="J175" s="6"/>
      <c r="K175" s="6"/>
      <c r="L175" s="6"/>
      <c r="M175" s="6"/>
      <c r="N175" s="126"/>
      <c r="O175" s="127" t="s">
        <v>201</v>
      </c>
      <c r="P175" s="6"/>
      <c r="Q175" s="6"/>
      <c r="R175" s="128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>
      <c r="A176" s="6"/>
      <c r="B176" s="6"/>
      <c r="C176" s="8" t="s">
        <v>202</v>
      </c>
      <c r="D176" s="6"/>
      <c r="E176" s="8" t="s">
        <v>97</v>
      </c>
      <c r="F176" s="6"/>
      <c r="G176" s="53" t="s">
        <v>203</v>
      </c>
      <c r="H176" s="6"/>
      <c r="I176" s="6"/>
      <c r="J176" s="6"/>
      <c r="K176" s="6"/>
      <c r="L176" s="6"/>
      <c r="M176" s="6"/>
      <c r="N176" s="126"/>
      <c r="O176" s="129" t="s">
        <v>204</v>
      </c>
      <c r="P176" s="6"/>
      <c r="Q176" s="6"/>
      <c r="R176" s="128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>
      <c r="A177" s="6"/>
      <c r="B177" s="6"/>
      <c r="C177" s="8" t="s">
        <v>97</v>
      </c>
      <c r="D177" s="6"/>
      <c r="E177" s="8" t="s">
        <v>106</v>
      </c>
      <c r="F177" s="6"/>
      <c r="G177" s="53" t="s">
        <v>203</v>
      </c>
      <c r="H177" s="6"/>
      <c r="I177" s="6"/>
      <c r="J177" s="6"/>
      <c r="K177" s="6"/>
      <c r="L177" s="6"/>
      <c r="M177" s="6"/>
      <c r="N177" s="126"/>
      <c r="O177" s="127" t="s">
        <v>205</v>
      </c>
      <c r="P177" s="6"/>
      <c r="Q177" s="6"/>
      <c r="R177" s="128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>
      <c r="A178" s="6"/>
      <c r="B178" s="6"/>
      <c r="C178" s="8" t="s">
        <v>194</v>
      </c>
      <c r="D178" s="6"/>
      <c r="E178" s="8" t="s">
        <v>195</v>
      </c>
      <c r="F178" s="6"/>
      <c r="G178" s="6"/>
      <c r="H178" s="6"/>
      <c r="I178" s="6"/>
      <c r="J178" s="6"/>
      <c r="K178" s="6"/>
      <c r="L178" s="6"/>
      <c r="M178" s="6"/>
      <c r="N178" s="130"/>
      <c r="O178" s="131"/>
      <c r="P178" s="131"/>
      <c r="Q178" s="131"/>
      <c r="R178" s="132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</row>
    <row r="179">
      <c r="A179" s="6"/>
      <c r="B179" s="6"/>
      <c r="C179" s="133" t="s">
        <v>206</v>
      </c>
      <c r="D179" s="134"/>
      <c r="E179" s="133" t="s">
        <v>207</v>
      </c>
      <c r="F179" s="134"/>
      <c r="G179" s="134"/>
      <c r="H179" s="134"/>
      <c r="I179" s="134"/>
      <c r="J179" s="133" t="s">
        <v>208</v>
      </c>
      <c r="K179" s="134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</row>
    <row r="181">
      <c r="A181" s="6"/>
      <c r="B181" s="7" t="s">
        <v>209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>
      <c r="A182" s="6"/>
      <c r="B182" s="8">
        <v>1.0</v>
      </c>
      <c r="C182" s="8" t="s">
        <v>210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>
      <c r="A183" s="6"/>
      <c r="B183" s="6"/>
      <c r="C183" s="8" t="s">
        <v>211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>
      <c r="A184" s="6"/>
      <c r="B184" s="6"/>
      <c r="C184" s="8" t="s">
        <v>150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>
      <c r="A186" s="6"/>
      <c r="B186" s="8">
        <v>2.0</v>
      </c>
      <c r="C186" s="8" t="s">
        <v>212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>
      <c r="A187" s="6"/>
      <c r="B187" s="6"/>
      <c r="C187" s="8" t="s">
        <v>150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</row>
    <row r="188">
      <c r="A188" s="6"/>
      <c r="B188" s="6"/>
      <c r="C188" s="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</row>
    <row r="189">
      <c r="A189" s="6"/>
      <c r="B189" s="6"/>
      <c r="C189" s="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</row>
  </sheetData>
  <mergeCells count="194">
    <mergeCell ref="O22:P22"/>
    <mergeCell ref="Q22:R22"/>
    <mergeCell ref="O23:P23"/>
    <mergeCell ref="Q23:R23"/>
    <mergeCell ref="S23:T23"/>
    <mergeCell ref="O24:P24"/>
    <mergeCell ref="Q24:R24"/>
    <mergeCell ref="S24:T24"/>
    <mergeCell ref="J22:L22"/>
    <mergeCell ref="M22:N22"/>
    <mergeCell ref="F23:I23"/>
    <mergeCell ref="J23:L23"/>
    <mergeCell ref="M23:N23"/>
    <mergeCell ref="J24:L24"/>
    <mergeCell ref="M24:N24"/>
    <mergeCell ref="J27:L27"/>
    <mergeCell ref="M27:N27"/>
    <mergeCell ref="O27:P27"/>
    <mergeCell ref="Q27:R27"/>
    <mergeCell ref="F26:I26"/>
    <mergeCell ref="J26:L26"/>
    <mergeCell ref="M26:N26"/>
    <mergeCell ref="O26:P26"/>
    <mergeCell ref="Q26:R26"/>
    <mergeCell ref="S26:T26"/>
    <mergeCell ref="F27:I27"/>
    <mergeCell ref="S27:T27"/>
    <mergeCell ref="M18:N18"/>
    <mergeCell ref="O18:P18"/>
    <mergeCell ref="M19:N19"/>
    <mergeCell ref="O19:P19"/>
    <mergeCell ref="M20:N20"/>
    <mergeCell ref="O20:P20"/>
    <mergeCell ref="Q18:R18"/>
    <mergeCell ref="S18:T18"/>
    <mergeCell ref="Q19:R19"/>
    <mergeCell ref="S19:T19"/>
    <mergeCell ref="Q20:R20"/>
    <mergeCell ref="S20:T20"/>
    <mergeCell ref="C10:F10"/>
    <mergeCell ref="M10:P10"/>
    <mergeCell ref="R10:U10"/>
    <mergeCell ref="C12:F12"/>
    <mergeCell ref="H12:K12"/>
    <mergeCell ref="C14:K14"/>
    <mergeCell ref="C18:D18"/>
    <mergeCell ref="F18:I18"/>
    <mergeCell ref="J18:L18"/>
    <mergeCell ref="C19:D19"/>
    <mergeCell ref="F19:I19"/>
    <mergeCell ref="J19:L19"/>
    <mergeCell ref="F20:I20"/>
    <mergeCell ref="J20:L20"/>
    <mergeCell ref="F21:I21"/>
    <mergeCell ref="J21:L21"/>
    <mergeCell ref="M21:N21"/>
    <mergeCell ref="O21:P21"/>
    <mergeCell ref="Q21:R21"/>
    <mergeCell ref="S21:T21"/>
    <mergeCell ref="F22:I22"/>
    <mergeCell ref="S22:T22"/>
    <mergeCell ref="F24:I24"/>
    <mergeCell ref="F25:I25"/>
    <mergeCell ref="J25:L25"/>
    <mergeCell ref="M25:N25"/>
    <mergeCell ref="O25:P25"/>
    <mergeCell ref="Q25:R25"/>
    <mergeCell ref="S25:T25"/>
    <mergeCell ref="C20:D20"/>
    <mergeCell ref="C21:D21"/>
    <mergeCell ref="C22:D22"/>
    <mergeCell ref="C23:D23"/>
    <mergeCell ref="C24:D24"/>
    <mergeCell ref="C25:D25"/>
    <mergeCell ref="C26:D26"/>
    <mergeCell ref="C29:D29"/>
    <mergeCell ref="N87:P87"/>
    <mergeCell ref="Q87:R87"/>
    <mergeCell ref="V91:W91"/>
    <mergeCell ref="E85:M85"/>
    <mergeCell ref="N85:P85"/>
    <mergeCell ref="Q85:R85"/>
    <mergeCell ref="E86:M86"/>
    <mergeCell ref="N86:P86"/>
    <mergeCell ref="Q86:R86"/>
    <mergeCell ref="E87:M87"/>
    <mergeCell ref="J92:M92"/>
    <mergeCell ref="N92:P92"/>
    <mergeCell ref="V92:W92"/>
    <mergeCell ref="V93:W93"/>
    <mergeCell ref="C91:G91"/>
    <mergeCell ref="H91:M91"/>
    <mergeCell ref="N91:P91"/>
    <mergeCell ref="Q91:R91"/>
    <mergeCell ref="S91:T91"/>
    <mergeCell ref="C92:G92"/>
    <mergeCell ref="H92:I92"/>
    <mergeCell ref="C27:D27"/>
    <mergeCell ref="C28:D28"/>
    <mergeCell ref="J28:L28"/>
    <mergeCell ref="M28:N28"/>
    <mergeCell ref="O28:P28"/>
    <mergeCell ref="Q28:R28"/>
    <mergeCell ref="S28:T28"/>
    <mergeCell ref="F29:I29"/>
    <mergeCell ref="F30:I30"/>
    <mergeCell ref="C31:D31"/>
    <mergeCell ref="F31:I31"/>
    <mergeCell ref="J30:L30"/>
    <mergeCell ref="M30:N30"/>
    <mergeCell ref="J31:L31"/>
    <mergeCell ref="M31:N31"/>
    <mergeCell ref="O30:P30"/>
    <mergeCell ref="Q30:R30"/>
    <mergeCell ref="O31:P31"/>
    <mergeCell ref="Q31:R31"/>
    <mergeCell ref="S31:T31"/>
    <mergeCell ref="F28:I28"/>
    <mergeCell ref="J29:L29"/>
    <mergeCell ref="M29:N29"/>
    <mergeCell ref="O29:P29"/>
    <mergeCell ref="Q29:R29"/>
    <mergeCell ref="S29:T29"/>
    <mergeCell ref="C30:D30"/>
    <mergeCell ref="S30:T30"/>
    <mergeCell ref="C36:U50"/>
    <mergeCell ref="M56:P56"/>
    <mergeCell ref="R56:U56"/>
    <mergeCell ref="C58:F58"/>
    <mergeCell ref="M58:P58"/>
    <mergeCell ref="R58:U58"/>
    <mergeCell ref="Q92:R92"/>
    <mergeCell ref="S92:T92"/>
    <mergeCell ref="C93:G93"/>
    <mergeCell ref="H93:I93"/>
    <mergeCell ref="J93:M93"/>
    <mergeCell ref="N93:P93"/>
    <mergeCell ref="Q93:R93"/>
    <mergeCell ref="AB125:AD125"/>
    <mergeCell ref="AE125:AF125"/>
    <mergeCell ref="AG125:AH125"/>
    <mergeCell ref="AJ125:AK125"/>
    <mergeCell ref="Q126:U126"/>
    <mergeCell ref="V126:W126"/>
    <mergeCell ref="X126:AA126"/>
    <mergeCell ref="AB126:AD126"/>
    <mergeCell ref="AE126:AF126"/>
    <mergeCell ref="AG126:AH126"/>
    <mergeCell ref="AJ126:AK126"/>
    <mergeCell ref="S97:T97"/>
    <mergeCell ref="S98:T98"/>
    <mergeCell ref="D101:K101"/>
    <mergeCell ref="L101:T101"/>
    <mergeCell ref="D102:K102"/>
    <mergeCell ref="L102:T102"/>
    <mergeCell ref="S93:T93"/>
    <mergeCell ref="S94:T94"/>
    <mergeCell ref="L96:M96"/>
    <mergeCell ref="N96:O96"/>
    <mergeCell ref="S96:T96"/>
    <mergeCell ref="L97:M97"/>
    <mergeCell ref="N97:O97"/>
    <mergeCell ref="AB113:AD113"/>
    <mergeCell ref="AE113:AF113"/>
    <mergeCell ref="AB114:AD114"/>
    <mergeCell ref="AE114:AF114"/>
    <mergeCell ref="AG114:AH114"/>
    <mergeCell ref="AG115:AH115"/>
    <mergeCell ref="AJ112:AK112"/>
    <mergeCell ref="AJ113:AK113"/>
    <mergeCell ref="AJ114:AK114"/>
    <mergeCell ref="Q112:U112"/>
    <mergeCell ref="V112:AA112"/>
    <mergeCell ref="AB112:AD112"/>
    <mergeCell ref="AE112:AF112"/>
    <mergeCell ref="AG112:AH112"/>
    <mergeCell ref="Q113:U113"/>
    <mergeCell ref="AG113:AH113"/>
    <mergeCell ref="V113:W113"/>
    <mergeCell ref="X113:AA113"/>
    <mergeCell ref="Q114:U114"/>
    <mergeCell ref="V114:W114"/>
    <mergeCell ref="X114:AA114"/>
    <mergeCell ref="Q125:U125"/>
    <mergeCell ref="V125:AA125"/>
    <mergeCell ref="G152:H152"/>
    <mergeCell ref="Q127:U127"/>
    <mergeCell ref="V127:W127"/>
    <mergeCell ref="X127:AA127"/>
    <mergeCell ref="AB127:AD127"/>
    <mergeCell ref="AE127:AF127"/>
    <mergeCell ref="AG127:AH127"/>
    <mergeCell ref="AJ127:AK127"/>
    <mergeCell ref="AG128:AH128"/>
  </mergeCells>
  <hyperlinks>
    <hyperlink r:id="rId2" ref="D138"/>
    <hyperlink r:id="rId3" ref="D139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2.0"/>
    <col customWidth="1" min="14" max="14" width="15.63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135" t="s">
        <v>213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8" t="s">
        <v>214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8" t="s">
        <v>215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8" t="s">
        <v>24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108"/>
      <c r="L8" s="108" t="s">
        <v>141</v>
      </c>
      <c r="M8" s="13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108"/>
      <c r="L9" s="108" t="s">
        <v>142</v>
      </c>
      <c r="M9" s="13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8" t="s">
        <v>216</v>
      </c>
      <c r="L10" s="8" t="s">
        <v>217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8" t="s">
        <v>8</v>
      </c>
      <c r="L11" s="8" t="s">
        <v>218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8" t="s">
        <v>67</v>
      </c>
      <c r="L25" s="8" t="s">
        <v>219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51" t="s">
        <v>220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8" t="s">
        <v>221</v>
      </c>
      <c r="L27" s="8" t="s">
        <v>222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8" t="s">
        <v>223</v>
      </c>
      <c r="L28" s="8" t="s">
        <v>224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8" t="s">
        <v>225</v>
      </c>
      <c r="L29" s="8" t="s">
        <v>96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8" t="s">
        <v>226</v>
      </c>
      <c r="L30" s="8" t="s">
        <v>227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8" t="s">
        <v>228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108"/>
      <c r="L32" s="137" t="s">
        <v>229</v>
      </c>
      <c r="M32" s="8" t="s">
        <v>230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8" t="s">
        <v>231</v>
      </c>
      <c r="M33" s="8" t="s">
        <v>232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8" t="s">
        <v>233</v>
      </c>
      <c r="L34" s="13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8" t="s">
        <v>234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8" t="s">
        <v>235</v>
      </c>
      <c r="L37" s="8" t="s">
        <v>236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8" t="s">
        <v>71</v>
      </c>
      <c r="L39" s="8" t="s">
        <v>237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8" t="s">
        <v>238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136"/>
      <c r="L43" s="136"/>
      <c r="M43" s="136"/>
      <c r="N43" s="136"/>
      <c r="O43" s="136"/>
      <c r="P43" s="13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7" t="s">
        <v>239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138" t="s">
        <v>240</v>
      </c>
      <c r="L45" s="138" t="s">
        <v>241</v>
      </c>
      <c r="M45" s="138" t="s">
        <v>242</v>
      </c>
      <c r="N45" s="138" t="s">
        <v>243</v>
      </c>
      <c r="O45" s="138" t="s">
        <v>244</v>
      </c>
      <c r="P45" s="138" t="s">
        <v>245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139"/>
      <c r="L46" s="140">
        <v>1.2E7</v>
      </c>
      <c r="M46" s="140">
        <v>1200000.0</v>
      </c>
      <c r="N46" s="140">
        <f>L46-M46</f>
        <v>10800000</v>
      </c>
      <c r="O46" s="140">
        <f>(N46*7)/(100+7)</f>
        <v>706542.0561</v>
      </c>
      <c r="P46" s="140">
        <f>N47+O46</f>
        <v>10800000</v>
      </c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139"/>
      <c r="L47" s="141"/>
      <c r="M47" s="141"/>
      <c r="N47" s="140">
        <f>N46*100/107</f>
        <v>10093457.94</v>
      </c>
      <c r="O47" s="141"/>
      <c r="P47" s="141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138" t="s">
        <v>246</v>
      </c>
      <c r="L48" s="142" t="s">
        <v>241</v>
      </c>
      <c r="M48" s="142" t="s">
        <v>242</v>
      </c>
      <c r="N48" s="142" t="s">
        <v>243</v>
      </c>
      <c r="O48" s="142" t="s">
        <v>244</v>
      </c>
      <c r="P48" s="142" t="s">
        <v>245</v>
      </c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139"/>
      <c r="L49" s="140">
        <v>1.2E7</v>
      </c>
      <c r="M49" s="140">
        <v>1200000.0</v>
      </c>
      <c r="N49" s="140">
        <f>L49-M49</f>
        <v>10800000</v>
      </c>
      <c r="O49" s="140">
        <f>(N49*7)/100</f>
        <v>756000</v>
      </c>
      <c r="P49" s="140">
        <f>N49+O49</f>
        <v>11556000</v>
      </c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139"/>
      <c r="L50" s="141"/>
      <c r="M50" s="141"/>
      <c r="N50" s="141"/>
      <c r="O50" s="141"/>
      <c r="P50" s="141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138" t="s">
        <v>247</v>
      </c>
      <c r="L51" s="142" t="s">
        <v>241</v>
      </c>
      <c r="M51" s="142" t="s">
        <v>242</v>
      </c>
      <c r="N51" s="142" t="s">
        <v>243</v>
      </c>
      <c r="O51" s="142" t="s">
        <v>244</v>
      </c>
      <c r="P51" s="142" t="s">
        <v>245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139"/>
      <c r="L52" s="140">
        <v>1.2E7</v>
      </c>
      <c r="M52" s="140">
        <v>1200000.0</v>
      </c>
      <c r="N52" s="140">
        <f>L52-M52</f>
        <v>10800000</v>
      </c>
      <c r="O52" s="140">
        <v>0.0</v>
      </c>
      <c r="P52" s="140">
        <f>N52+O52</f>
        <v>10800000</v>
      </c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8" t="s">
        <v>248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